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\Desktop\"/>
    </mc:Choice>
  </mc:AlternateContent>
  <xr:revisionPtr revIDLastSave="0" documentId="13_ncr:1_{0D185B46-5E5E-4ECD-B4B2-DA69E23A0046}" xr6:coauthVersionLast="47" xr6:coauthVersionMax="47" xr10:uidLastSave="{00000000-0000-0000-0000-000000000000}"/>
  <bookViews>
    <workbookView xWindow="-108" yWindow="-108" windowWidth="23256" windowHeight="12456" firstSheet="2" activeTab="9" xr2:uid="{4C7C5CA7-3929-434A-8041-DF30DA099954}"/>
  </bookViews>
  <sheets>
    <sheet name="Solution 1" sheetId="1" r:id="rId1"/>
    <sheet name="Solution 2" sheetId="2" r:id="rId2"/>
    <sheet name="Solution 3" sheetId="3" r:id="rId3"/>
    <sheet name="Solution 4" sheetId="4" r:id="rId4"/>
    <sheet name="Solution 5" sheetId="5" r:id="rId5"/>
    <sheet name="Solution 6" sheetId="6" r:id="rId6"/>
    <sheet name="Solution 7" sheetId="7" r:id="rId7"/>
    <sheet name="Solution 8" sheetId="8" r:id="rId8"/>
    <sheet name="Solution 9" sheetId="9" r:id="rId9"/>
    <sheet name="Solution 10" sheetId="10" r:id="rId10"/>
    <sheet name="Sheet5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0" l="1"/>
  <c r="E25" i="10"/>
  <c r="E23" i="10"/>
  <c r="E22" i="10"/>
  <c r="E15" i="10"/>
  <c r="F13" i="10" a="1"/>
  <c r="F13" i="10" s="1"/>
  <c r="D10" i="10"/>
  <c r="D12" i="9"/>
  <c r="E12" i="9" s="1"/>
  <c r="D14" i="9"/>
  <c r="E14" i="9" s="1"/>
  <c r="D11" i="9"/>
  <c r="E11" i="9" s="1"/>
  <c r="E7" i="9"/>
  <c r="C14" i="5"/>
  <c r="C13" i="6"/>
  <c r="C10" i="2"/>
  <c r="B11" i="1"/>
  <c r="D13" i="9" l="1"/>
  <c r="E13" i="9" s="1"/>
  <c r="D15" i="9"/>
  <c r="E15" i="9" s="1"/>
  <c r="F18" i="9"/>
  <c r="D20" i="9" s="1"/>
  <c r="E22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<sst xmlns="http://schemas.openxmlformats.org/spreadsheetml/2006/main" count="189" uniqueCount="171">
  <si>
    <t>Calculation</t>
  </si>
  <si>
    <t>Sales data (dozens):</t>
  </si>
  <si>
    <t>Why the mean is most representative</t>
  </si>
  <si>
    <r>
      <t xml:space="preserve">The </t>
    </r>
    <r>
      <rPr>
        <b/>
        <sz val="12"/>
        <color theme="1"/>
        <rFont val="Times New Roman"/>
        <family val="1"/>
      </rPr>
      <t>most representative value</t>
    </r>
    <r>
      <rPr>
        <sz val="12"/>
        <color theme="1"/>
        <rFont val="Times New Roman"/>
        <family val="1"/>
      </rPr>
      <t xml:space="preserve"> of the bakery’s weekly muffin sales is the </t>
    </r>
    <r>
      <rPr>
        <b/>
        <sz val="12"/>
        <color theme="1"/>
        <rFont val="Times New Roman"/>
        <family val="1"/>
      </rPr>
      <t>mean (average)</t>
    </r>
    <r>
      <rPr>
        <sz val="12"/>
        <color theme="1"/>
        <rFont val="Times New Roman"/>
        <family val="1"/>
      </rPr>
      <t>.</t>
    </r>
  </si>
  <si>
    <r>
      <t xml:space="preserve">The data has </t>
    </r>
    <r>
      <rPr>
        <b/>
        <sz val="12"/>
        <color theme="1"/>
        <rFont val="Times New Roman"/>
        <family val="1"/>
      </rPr>
      <t>no extreme outliers</t>
    </r>
    <r>
      <rPr>
        <sz val="12"/>
        <color theme="1"/>
        <rFont val="Times New Roman"/>
        <family val="1"/>
      </rPr>
      <t>.</t>
    </r>
  </si>
  <si>
    <r>
      <t xml:space="preserve">Sales vary gradually and are </t>
    </r>
    <r>
      <rPr>
        <b/>
        <sz val="12"/>
        <color theme="1"/>
        <rFont val="Times New Roman"/>
        <family val="1"/>
      </rPr>
      <t>fairly consistent</t>
    </r>
    <r>
      <rPr>
        <sz val="12"/>
        <color theme="1"/>
        <rFont val="Times New Roman"/>
        <family val="1"/>
      </rPr>
      <t xml:space="preserve"> across the week.</t>
    </r>
  </si>
  <si>
    <r>
      <t xml:space="preserve">The mean uses </t>
    </r>
    <r>
      <rPr>
        <b/>
        <sz val="12"/>
        <color theme="1"/>
        <rFont val="Times New Roman"/>
        <family val="1"/>
      </rPr>
      <t>all values</t>
    </r>
    <r>
      <rPr>
        <sz val="12"/>
        <color theme="1"/>
        <rFont val="Times New Roman"/>
        <family val="1"/>
      </rPr>
      <t>, giving a balanced picture of typical daily sales.</t>
    </r>
  </si>
  <si>
    <r>
      <t>Median</t>
    </r>
    <r>
      <rPr>
        <sz val="12"/>
        <color theme="1"/>
        <rFont val="Times New Roman"/>
        <family val="1"/>
      </rPr>
      <t xml:space="preserve"> = 12 (also reasonable)</t>
    </r>
  </si>
  <si>
    <r>
      <t>Mode</t>
    </r>
    <r>
      <rPr>
        <sz val="12"/>
        <color theme="1"/>
        <rFont val="Times New Roman"/>
        <family val="1"/>
      </rPr>
      <t xml:space="preserve"> = 12 (appears twice)</t>
    </r>
  </si>
  <si>
    <r>
      <t xml:space="preserve">Since the data is stable and evenly spread, the </t>
    </r>
    <r>
      <rPr>
        <b/>
        <sz val="12"/>
        <color theme="1"/>
        <rFont val="Times New Roman"/>
        <family val="1"/>
      </rPr>
      <t>mean (~12.4 dozen muffins per day)</t>
    </r>
    <r>
      <rPr>
        <sz val="12"/>
        <color theme="1"/>
        <rFont val="Times New Roman"/>
        <family val="1"/>
      </rPr>
      <t xml:space="preserve"> best represents the bakery’s weekly sales.</t>
    </r>
  </si>
  <si>
    <t xml:space="preserve"> What is the most representative value of their weekly sales, and why?</t>
  </si>
  <si>
    <t>Question No. 1 A bakery tracks the daily sales of muffins (in dozens) over a week: [10, 12, 11, 15, 14, 13, 12].</t>
  </si>
  <si>
    <t>Solution:</t>
  </si>
  <si>
    <t>Mean =</t>
  </si>
  <si>
    <t>What is the mean score, and what does it tell us about the class’s performance?</t>
  </si>
  <si>
    <t>Question No2</t>
  </si>
  <si>
    <t xml:space="preserve">A teacher records the marks of her students in a short quiz: [12, 15, 14, 16, 18, 20, 19]. </t>
  </si>
  <si>
    <t>Mean Score Calculation</t>
  </si>
  <si>
    <t>Marks:</t>
  </si>
  <si>
    <t>Interpretation</t>
  </si>
  <si>
    <t>Conclusion:</t>
  </si>
  <si>
    <r>
      <t xml:space="preserve">The </t>
    </r>
    <r>
      <rPr>
        <b/>
        <sz val="12"/>
        <color theme="1"/>
        <rFont val="Times New Roman"/>
        <family val="1"/>
      </rPr>
      <t>mean score is approximately 16.3 marks</t>
    </r>
    <r>
      <rPr>
        <sz val="12"/>
        <color theme="1"/>
        <rFont val="Times New Roman"/>
        <family val="1"/>
      </rPr>
      <t>.</t>
    </r>
  </si>
  <si>
    <r>
      <t xml:space="preserve">This tells us that, on average, students scored </t>
    </r>
    <r>
      <rPr>
        <b/>
        <sz val="12"/>
        <color theme="1"/>
        <rFont val="Times New Roman"/>
        <family val="1"/>
      </rPr>
      <t>around 16 marks</t>
    </r>
    <r>
      <rPr>
        <sz val="12"/>
        <color theme="1"/>
        <rFont val="Times New Roman"/>
        <family val="1"/>
      </rPr>
      <t xml:space="preserve"> in the quiz.</t>
    </r>
  </si>
  <si>
    <r>
      <t xml:space="preserve">Since most scores are </t>
    </r>
    <r>
      <rPr>
        <b/>
        <sz val="12"/>
        <color theme="1"/>
        <rFont val="Times New Roman"/>
        <family val="1"/>
      </rPr>
      <t>clustered between 14 and 20</t>
    </r>
    <r>
      <rPr>
        <sz val="12"/>
        <color theme="1"/>
        <rFont val="Times New Roman"/>
        <family val="1"/>
      </rPr>
      <t xml:space="preserve">, the class performance is </t>
    </r>
    <r>
      <rPr>
        <b/>
        <sz val="12"/>
        <color theme="1"/>
        <rFont val="Times New Roman"/>
        <family val="1"/>
      </rPr>
      <t>generally good</t>
    </r>
    <r>
      <rPr>
        <sz val="12"/>
        <color theme="1"/>
        <rFont val="Times New Roman"/>
        <family val="1"/>
      </rPr>
      <t>.</t>
    </r>
  </si>
  <si>
    <r>
      <t xml:space="preserve">There are </t>
    </r>
    <r>
      <rPr>
        <b/>
        <sz val="12"/>
        <color theme="1"/>
        <rFont val="Times New Roman"/>
        <family val="1"/>
      </rPr>
      <t>no extreme low or high values</t>
    </r>
    <r>
      <rPr>
        <sz val="12"/>
        <color theme="1"/>
        <rFont val="Times New Roman"/>
        <family val="1"/>
      </rPr>
      <t xml:space="preserve">, indicating </t>
    </r>
    <r>
      <rPr>
        <b/>
        <sz val="12"/>
        <color theme="1"/>
        <rFont val="Times New Roman"/>
        <family val="1"/>
      </rPr>
      <t>consistent understanding</t>
    </r>
    <r>
      <rPr>
        <sz val="12"/>
        <color theme="1"/>
        <rFont val="Times New Roman"/>
        <family val="1"/>
      </rPr>
      <t xml:space="preserve"> of the quiz material among students.</t>
    </r>
  </si>
  <si>
    <t xml:space="preserve">Mean = </t>
  </si>
  <si>
    <t>Mode Calculation</t>
  </si>
  <si>
    <t>Shoe sizes sold:</t>
  </si>
  <si>
    <t>Frequency count:</t>
  </si>
  <si>
    <t>Size 7 → 2 times</t>
  </si>
  <si>
    <t>Size 9 → 2 times</t>
  </si>
  <si>
    <t>Size 10 → 1 time</t>
  </si>
  <si>
    <t>Mode</t>
  </si>
  <si>
    <t>Why this is useful for the store manager</t>
  </si>
  <si>
    <t>Knowing the mode helps the store manager make better stocking and sales decisions.</t>
  </si>
  <si>
    <r>
      <t xml:space="preserve">Size 8 → </t>
    </r>
    <r>
      <rPr>
        <b/>
        <sz val="12"/>
        <color theme="1"/>
        <rFont val="Times New Roman"/>
        <family val="1"/>
      </rPr>
      <t>3 times</t>
    </r>
  </si>
  <si>
    <r>
      <t xml:space="preserve">The </t>
    </r>
    <r>
      <rPr>
        <b/>
        <sz val="12"/>
        <color theme="1"/>
        <rFont val="Times New Roman"/>
        <family val="1"/>
      </rPr>
      <t>mode is shoe size 8</t>
    </r>
    <r>
      <rPr>
        <sz val="12"/>
        <color theme="1"/>
        <rFont val="Times New Roman"/>
        <family val="1"/>
      </rPr>
      <t>, because it occurs most frequently.</t>
    </r>
  </si>
  <si>
    <r>
      <t xml:space="preserve">It shows the </t>
    </r>
    <r>
      <rPr>
        <b/>
        <sz val="12"/>
        <color theme="1"/>
        <rFont val="Times New Roman"/>
        <family val="1"/>
      </rPr>
      <t>most popular shoe size</t>
    </r>
    <r>
      <rPr>
        <sz val="12"/>
        <color theme="1"/>
        <rFont val="Times New Roman"/>
        <family val="1"/>
      </rPr>
      <t xml:space="preserve"> among customers.</t>
    </r>
  </si>
  <si>
    <r>
      <t xml:space="preserve">Helps in </t>
    </r>
    <r>
      <rPr>
        <b/>
        <sz val="12"/>
        <color theme="1"/>
        <rFont val="Times New Roman"/>
        <family val="1"/>
      </rPr>
      <t>inventory planning</t>
    </r>
    <r>
      <rPr>
        <sz val="12"/>
        <color theme="1"/>
        <rFont val="Times New Roman"/>
        <family val="1"/>
      </rPr>
      <t>—the manager should stock more size 8 shoes.</t>
    </r>
  </si>
  <si>
    <r>
      <t xml:space="preserve">Reduces the risk of </t>
    </r>
    <r>
      <rPr>
        <b/>
        <sz val="12"/>
        <color theme="1"/>
        <rFont val="Times New Roman"/>
        <family val="1"/>
      </rPr>
      <t>running out of high-demand sizes</t>
    </r>
    <r>
      <rPr>
        <sz val="12"/>
        <color theme="1"/>
        <rFont val="Times New Roman"/>
        <family val="1"/>
      </rPr>
      <t>.</t>
    </r>
  </si>
  <si>
    <r>
      <t xml:space="preserve">Improves </t>
    </r>
    <r>
      <rPr>
        <b/>
        <sz val="12"/>
        <color theme="1"/>
        <rFont val="Times New Roman"/>
        <family val="1"/>
      </rPr>
      <t>customer satisfaction</t>
    </r>
    <r>
      <rPr>
        <sz val="12"/>
        <color theme="1"/>
        <rFont val="Times New Roman"/>
        <family val="1"/>
      </rPr>
      <t xml:space="preserve"> by ensuring popular sizes are available.</t>
    </r>
  </si>
  <si>
    <t>Question No 3</t>
  </si>
  <si>
    <t xml:space="preserve"> What is the mode, and why is this information useful for the store manager?</t>
  </si>
  <si>
    <t>A store records the shoe sizes sold in one day: [7, 8, 9, 8, 8, 10, 7, 9].</t>
  </si>
  <si>
    <t>Why the median is a better measure than the mean</t>
  </si>
  <si>
    <t>The car prices are:</t>
  </si>
  <si>
    <t>Median Calculation</t>
  </si>
  <si>
    <t>First, arrange the prices in ascending order (already arranged):</t>
  </si>
  <si>
    <t>Conclusion</t>
  </si>
  <si>
    <r>
      <t xml:space="preserve">The price </t>
    </r>
    <r>
      <rPr>
        <b/>
        <sz val="12"/>
        <color theme="1"/>
        <rFont val="Times New Roman"/>
        <family val="1"/>
      </rPr>
      <t>$50,000</t>
    </r>
    <r>
      <rPr>
        <sz val="12"/>
        <color theme="1"/>
        <rFont val="Times New Roman"/>
        <family val="1"/>
      </rPr>
      <t xml:space="preserve"> is an </t>
    </r>
    <r>
      <rPr>
        <b/>
        <sz val="12"/>
        <color theme="1"/>
        <rFont val="Times New Roman"/>
        <family val="1"/>
      </rPr>
      <t>extreme value (outlier)</t>
    </r>
    <r>
      <rPr>
        <sz val="12"/>
        <color theme="1"/>
        <rFont val="Times New Roman"/>
        <family val="1"/>
      </rPr>
      <t xml:space="preserve"> compared to the others.</t>
    </r>
  </si>
  <si>
    <r>
      <t xml:space="preserve">The </t>
    </r>
    <r>
      <rPr>
        <b/>
        <sz val="12"/>
        <color theme="1"/>
        <rFont val="Times New Roman"/>
        <family val="1"/>
      </rPr>
      <t>mean</t>
    </r>
    <r>
      <rPr>
        <sz val="12"/>
        <color theme="1"/>
        <rFont val="Times New Roman"/>
        <family val="1"/>
      </rPr>
      <t xml:space="preserve"> would be pulled upward by this unusually high price, giving a misleading idea of a “typical” used car price.</t>
    </r>
  </si>
  <si>
    <r>
      <t xml:space="preserve">The </t>
    </r>
    <r>
      <rPr>
        <b/>
        <sz val="12"/>
        <color theme="1"/>
        <rFont val="Times New Roman"/>
        <family val="1"/>
      </rPr>
      <t>median</t>
    </r>
    <r>
      <rPr>
        <sz val="12"/>
        <color theme="1"/>
        <rFont val="Times New Roman"/>
        <family val="1"/>
      </rPr>
      <t xml:space="preserve"> is not affected by extreme values, so it better represents the </t>
    </r>
    <r>
      <rPr>
        <b/>
        <sz val="12"/>
        <color theme="1"/>
        <rFont val="Times New Roman"/>
        <family val="1"/>
      </rPr>
      <t>central tendency</t>
    </r>
    <r>
      <rPr>
        <sz val="12"/>
        <color theme="1"/>
        <rFont val="Times New Roman"/>
        <family val="1"/>
      </rPr>
      <t xml:space="preserve"> of most cars.</t>
    </r>
  </si>
  <si>
    <r>
      <t xml:space="preserve">$8,000, $9,500, </t>
    </r>
    <r>
      <rPr>
        <b/>
        <sz val="12"/>
        <color theme="1"/>
        <rFont val="Times New Roman"/>
        <family val="1"/>
      </rPr>
      <t>$10,200</t>
    </r>
    <r>
      <rPr>
        <sz val="12"/>
        <color theme="1"/>
        <rFont val="Times New Roman"/>
        <family val="1"/>
      </rPr>
      <t>, $11,000, $50,000</t>
    </r>
  </si>
  <si>
    <r>
      <t xml:space="preserve">Since there are </t>
    </r>
    <r>
      <rPr>
        <b/>
        <sz val="12"/>
        <color theme="1"/>
        <rFont val="Times New Roman"/>
        <family val="1"/>
      </rPr>
      <t>5 values (odd number)</t>
    </r>
    <r>
      <rPr>
        <sz val="12"/>
        <color theme="1"/>
        <rFont val="Times New Roman"/>
        <family val="1"/>
      </rPr>
      <t xml:space="preserve">, the median is the </t>
    </r>
    <r>
      <rPr>
        <b/>
        <sz val="12"/>
        <color theme="1"/>
        <rFont val="Times New Roman"/>
        <family val="1"/>
      </rPr>
      <t>middle value</t>
    </r>
    <r>
      <rPr>
        <sz val="12"/>
        <color theme="1"/>
        <rFont val="Times New Roman"/>
        <family val="1"/>
      </rPr>
      <t>.</t>
    </r>
  </si>
  <si>
    <r>
      <t xml:space="preserve">The </t>
    </r>
    <r>
      <rPr>
        <b/>
        <sz val="12"/>
        <color theme="1"/>
        <rFont val="Times New Roman"/>
        <family val="1"/>
      </rPr>
      <t>median price is $10,200</t>
    </r>
    <r>
      <rPr>
        <sz val="12"/>
        <color theme="1"/>
        <rFont val="Times New Roman"/>
        <family val="1"/>
      </rPr>
      <t>, which better reflects the typical used car price because it ignores the distortion caused by the very expensive outlier.</t>
    </r>
  </si>
  <si>
    <t xml:space="preserve"> Why is the median a better measure than the mean in this case? Calculate the median.</t>
  </si>
  <si>
    <t>A car dealer notes the prices of used cars: [$8,000, $9,500, $10,200, $11,000, $50,000].</t>
  </si>
  <si>
    <t>Question No 4</t>
  </si>
  <si>
    <t xml:space="preserve"> What does the range tell us about the variation in the student’s puzzle-solving time?</t>
  </si>
  <si>
    <t>A student times how long it takes to finish a puzzle each day: [25, 30, 27, 35, 40].</t>
  </si>
  <si>
    <t>Question no 5</t>
  </si>
  <si>
    <t>Calculating the Range</t>
  </si>
  <si>
    <t>Puzzle-solving times (in minutes):</t>
  </si>
  <si>
    <t>25, 30, 27, 35, 40</t>
  </si>
  <si>
    <t>What the range tells us</t>
  </si>
  <si>
    <r>
      <t xml:space="preserve">The range of </t>
    </r>
    <r>
      <rPr>
        <b/>
        <sz val="12"/>
        <color theme="1"/>
        <rFont val="Times New Roman"/>
        <family val="1"/>
      </rPr>
      <t>15 minutes</t>
    </r>
    <r>
      <rPr>
        <sz val="12"/>
        <color theme="1"/>
        <rFont val="Times New Roman"/>
        <family val="1"/>
      </rPr>
      <t xml:space="preserve"> shows the </t>
    </r>
    <r>
      <rPr>
        <b/>
        <sz val="12"/>
        <color theme="1"/>
        <rFont val="Times New Roman"/>
        <family val="1"/>
      </rPr>
      <t>spread</t>
    </r>
    <r>
      <rPr>
        <sz val="12"/>
        <color theme="1"/>
        <rFont val="Times New Roman"/>
        <family val="1"/>
      </rPr>
      <t xml:space="preserve"> of the student’s puzzle-solving times.</t>
    </r>
  </si>
  <si>
    <r>
      <t xml:space="preserve">It indicates that the student’s daily performance </t>
    </r>
    <r>
      <rPr>
        <b/>
        <sz val="12"/>
        <color theme="1"/>
        <rFont val="Times New Roman"/>
        <family val="1"/>
      </rPr>
      <t>varies by up to 15 minutes</t>
    </r>
    <r>
      <rPr>
        <sz val="12"/>
        <color theme="1"/>
        <rFont val="Times New Roman"/>
        <family val="1"/>
      </rPr>
      <t xml:space="preserve"> between the fastest and slowest days.</t>
    </r>
  </si>
  <si>
    <r>
      <t xml:space="preserve">A larger range suggests </t>
    </r>
    <r>
      <rPr>
        <b/>
        <sz val="12"/>
        <color theme="1"/>
        <rFont val="Times New Roman"/>
        <family val="1"/>
      </rPr>
      <t>less consistency</t>
    </r>
    <r>
      <rPr>
        <sz val="12"/>
        <color theme="1"/>
        <rFont val="Times New Roman"/>
        <family val="1"/>
      </rPr>
      <t>, while a smaller range would mean more consistent puzzle-solving speed.</t>
    </r>
  </si>
  <si>
    <r>
      <t xml:space="preserve">The range tells us that the student’s puzzle-solving time fluctuates noticeably from day to day, with a difference of </t>
    </r>
    <r>
      <rPr>
        <b/>
        <sz val="12"/>
        <color theme="1"/>
        <rFont val="Times New Roman"/>
        <family val="1"/>
      </rPr>
      <t>15 minutes</t>
    </r>
    <r>
      <rPr>
        <sz val="12"/>
        <color theme="1"/>
        <rFont val="Times New Roman"/>
        <family val="1"/>
      </rPr>
      <t xml:space="preserve"> between the quickest and slowest attempts.</t>
    </r>
  </si>
  <si>
    <t xml:space="preserve"> Find the range. How can this help the farmer in planning his packaging?</t>
  </si>
  <si>
    <t>A farmer records the weekly weight of harvested apples (kg): [100, 105, 98, 110, 120].</t>
  </si>
  <si>
    <t>1. Find the range</t>
  </si>
  <si>
    <t>2. How this helps in packaging</t>
  </si>
  <si>
    <t>This helps the farmer:</t>
  </si>
  <si>
    <r>
      <t xml:space="preserve">Weekly weights (kg): </t>
    </r>
    <r>
      <rPr>
        <b/>
        <sz val="12"/>
        <color theme="1"/>
        <rFont val="Times New Roman"/>
        <family val="1"/>
      </rPr>
      <t>100, 105, 98, 110, 120</t>
    </r>
  </si>
  <si>
    <r>
      <t xml:space="preserve">The </t>
    </r>
    <r>
      <rPr>
        <b/>
        <sz val="12"/>
        <color theme="1"/>
        <rFont val="Times New Roman"/>
        <family val="1"/>
      </rPr>
      <t>range (22 kg)</t>
    </r>
    <r>
      <rPr>
        <sz val="12"/>
        <color theme="1"/>
        <rFont val="Times New Roman"/>
        <family val="1"/>
      </rPr>
      <t xml:space="preserve"> shows how much the harvest varies from week to week.</t>
    </r>
  </si>
  <si>
    <r>
      <t xml:space="preserve">📦 </t>
    </r>
    <r>
      <rPr>
        <b/>
        <sz val="12"/>
        <color theme="1"/>
        <rFont val="Times New Roman"/>
        <family val="1"/>
      </rPr>
      <t>Plan packaging capacity</t>
    </r>
    <r>
      <rPr>
        <sz val="12"/>
        <color theme="1"/>
        <rFont val="Times New Roman"/>
        <family val="1"/>
      </rPr>
      <t>: Ensure enough boxes or crates to handle heavier weeks (up to 120 kg).</t>
    </r>
  </si>
  <si>
    <r>
      <t xml:space="preserve">🚚 </t>
    </r>
    <r>
      <rPr>
        <b/>
        <sz val="12"/>
        <color theme="1"/>
        <rFont val="Times New Roman"/>
        <family val="1"/>
      </rPr>
      <t>Manage logistics</t>
    </r>
    <r>
      <rPr>
        <sz val="12"/>
        <color theme="1"/>
        <rFont val="Times New Roman"/>
        <family val="1"/>
      </rPr>
      <t>: Prepare transport for higher yield weeks.</t>
    </r>
  </si>
  <si>
    <r>
      <t xml:space="preserve">🧮 </t>
    </r>
    <r>
      <rPr>
        <b/>
        <sz val="12"/>
        <color theme="1"/>
        <rFont val="Times New Roman"/>
        <family val="1"/>
      </rPr>
      <t>Avoid shortages or waste</t>
    </r>
    <r>
      <rPr>
        <sz val="12"/>
        <color theme="1"/>
        <rFont val="Times New Roman"/>
        <family val="1"/>
      </rPr>
      <t>: Not under-pack during high harvest weeks or over-prepare during low ones.</t>
    </r>
  </si>
  <si>
    <r>
      <t xml:space="preserve">In short, the range helps the farmer </t>
    </r>
    <r>
      <rPr>
        <b/>
        <sz val="12"/>
        <color theme="1"/>
        <rFont val="Times New Roman"/>
        <family val="1"/>
      </rPr>
      <t>anticipate variability</t>
    </r>
    <r>
      <rPr>
        <sz val="12"/>
        <color theme="1"/>
        <rFont val="Times New Roman"/>
        <family val="1"/>
      </rPr>
      <t xml:space="preserve"> and plan packaging more efficiently.</t>
    </r>
  </si>
  <si>
    <t>Question No. 6</t>
  </si>
  <si>
    <t>Range:</t>
  </si>
  <si>
    <t xml:space="preserve">Maximum weight = </t>
  </si>
  <si>
    <t xml:space="preserve">Minimum weight = </t>
  </si>
  <si>
    <t>Kg</t>
  </si>
  <si>
    <r>
      <t>Maximum time</t>
    </r>
    <r>
      <rPr>
        <sz val="12"/>
        <color theme="1"/>
        <rFont val="Times New Roman"/>
        <family val="1"/>
      </rPr>
      <t xml:space="preserve"> = </t>
    </r>
  </si>
  <si>
    <r>
      <t>Minimum time</t>
    </r>
    <r>
      <rPr>
        <sz val="12"/>
        <color theme="1"/>
        <rFont val="Times New Roman"/>
        <family val="1"/>
      </rPr>
      <t xml:space="preserve"> = </t>
    </r>
  </si>
  <si>
    <t>Minutes</t>
  </si>
  <si>
    <t>= 8</t>
  </si>
  <si>
    <t>Variance is calculated by:</t>
  </si>
  <si>
    <t>Finding the mean delay</t>
  </si>
  <si>
    <t>Measuring how far each delay is from the mean</t>
  </si>
  <si>
    <t>Squaring those differences and averaging them</t>
  </si>
  <si>
    <t>Company A is more consistent.</t>
  </si>
  <si>
    <t>Reason:</t>
  </si>
  <si>
    <r>
      <t xml:space="preserve">Variance tells us </t>
    </r>
    <r>
      <rPr>
        <b/>
        <sz val="12"/>
        <color theme="1"/>
        <rFont val="Times New Roman"/>
        <family val="1"/>
      </rPr>
      <t>how much individual values differ from the average (mean)</t>
    </r>
    <r>
      <rPr>
        <sz val="12"/>
        <color theme="1"/>
        <rFont val="Times New Roman"/>
        <family val="1"/>
      </rPr>
      <t>.</t>
    </r>
  </si>
  <si>
    <r>
      <t xml:space="preserve">If variance is </t>
    </r>
    <r>
      <rPr>
        <b/>
        <sz val="12"/>
        <color theme="1"/>
        <rFont val="Times New Roman"/>
        <family val="1"/>
      </rPr>
      <t>small</t>
    </r>
    <r>
      <rPr>
        <sz val="12"/>
        <color theme="1"/>
        <rFont val="Times New Roman"/>
        <family val="1"/>
      </rPr>
      <t>, most values are close to the mean.</t>
    </r>
  </si>
  <si>
    <r>
      <t xml:space="preserve">If variance is </t>
    </r>
    <r>
      <rPr>
        <b/>
        <sz val="12"/>
        <color theme="1"/>
        <rFont val="Times New Roman"/>
        <family val="1"/>
      </rPr>
      <t>large</t>
    </r>
    <r>
      <rPr>
        <sz val="12"/>
        <color theme="1"/>
        <rFont val="Times New Roman"/>
        <family val="1"/>
      </rPr>
      <t>, values are more spread out—some deliveries are much earlier or later than average.</t>
    </r>
  </si>
  <si>
    <r>
      <t xml:space="preserve">So variance reflects </t>
    </r>
    <r>
      <rPr>
        <b/>
        <sz val="12"/>
        <color theme="1"/>
        <rFont val="Times New Roman"/>
        <family val="1"/>
      </rPr>
      <t>consistency</t>
    </r>
    <r>
      <rPr>
        <sz val="12"/>
        <color theme="1"/>
        <rFont val="Times New Roman"/>
        <family val="1"/>
      </rPr>
      <t xml:space="preserve"> in performance.</t>
    </r>
  </si>
  <si>
    <r>
      <t>Variance measures how spread out the data is</t>
    </r>
    <r>
      <rPr>
        <sz val="12"/>
        <color theme="1"/>
        <rFont val="Times New Roman"/>
        <family val="1"/>
      </rPr>
      <t xml:space="preserve"> from the mean.</t>
    </r>
  </si>
  <si>
    <r>
      <t xml:space="preserve">A </t>
    </r>
    <r>
      <rPr>
        <b/>
        <sz val="12"/>
        <color theme="1"/>
        <rFont val="Times New Roman"/>
        <family val="1"/>
      </rPr>
      <t>lower variance</t>
    </r>
    <r>
      <rPr>
        <sz val="12"/>
        <color theme="1"/>
        <rFont val="Times New Roman"/>
        <family val="1"/>
      </rPr>
      <t xml:space="preserve"> means delivery times are </t>
    </r>
    <r>
      <rPr>
        <b/>
        <sz val="12"/>
        <color theme="1"/>
        <rFont val="Times New Roman"/>
        <family val="1"/>
      </rPr>
      <t>more closely clustered</t>
    </r>
    <r>
      <rPr>
        <sz val="12"/>
        <color theme="1"/>
        <rFont val="Times New Roman"/>
        <family val="1"/>
      </rPr>
      <t xml:space="preserve"> and show </t>
    </r>
    <r>
      <rPr>
        <b/>
        <sz val="12"/>
        <color theme="1"/>
        <rFont val="Times New Roman"/>
        <family val="1"/>
      </rPr>
      <t>less fluctuation</t>
    </r>
    <r>
      <rPr>
        <sz val="12"/>
        <color theme="1"/>
        <rFont val="Times New Roman"/>
        <family val="1"/>
      </rPr>
      <t>.</t>
    </r>
  </si>
  <si>
    <r>
      <t xml:space="preserve">Company A has a variance of </t>
    </r>
    <r>
      <rPr>
        <b/>
        <sz val="12"/>
        <color theme="1"/>
        <rFont val="Times New Roman"/>
        <family val="1"/>
      </rPr>
      <t>6</t>
    </r>
    <r>
      <rPr>
        <sz val="12"/>
        <color theme="1"/>
        <rFont val="Times New Roman"/>
        <family val="1"/>
      </rPr>
      <t xml:space="preserve">, while Company B has a variance of </t>
    </r>
    <r>
      <rPr>
        <b/>
        <sz val="12"/>
        <color theme="1"/>
        <rFont val="Times New Roman"/>
        <family val="1"/>
      </rPr>
      <t>15</t>
    </r>
    <r>
      <rPr>
        <sz val="12"/>
        <color theme="1"/>
        <rFont val="Times New Roman"/>
        <family val="1"/>
      </rPr>
      <t>.</t>
    </r>
  </si>
  <si>
    <r>
      <t xml:space="preserve">Since </t>
    </r>
    <r>
      <rPr>
        <b/>
        <sz val="12"/>
        <color theme="1"/>
        <rFont val="Times New Roman"/>
        <family val="1"/>
      </rPr>
      <t>6 &lt; 15</t>
    </r>
    <r>
      <rPr>
        <sz val="12"/>
        <color theme="1"/>
        <rFont val="Times New Roman"/>
        <family val="1"/>
      </rPr>
      <t xml:space="preserve">, Company A’s delivery delays vary less, making it </t>
    </r>
    <r>
      <rPr>
        <b/>
        <sz val="12"/>
        <color theme="1"/>
        <rFont val="Times New Roman"/>
        <family val="1"/>
      </rPr>
      <t>more consistent and predictable</t>
    </r>
    <r>
      <rPr>
        <sz val="12"/>
        <color theme="1"/>
        <rFont val="Times New Roman"/>
        <family val="1"/>
      </rPr>
      <t xml:space="preserve"> than Company B.</t>
    </r>
  </si>
  <si>
    <t>Question No.7</t>
  </si>
  <si>
    <t>Which company is more consistent, and why?</t>
  </si>
  <si>
    <t>Two delivery companies track delivery delays (in minutes). Company A: variance = 6 Company B: variance = 15</t>
  </si>
  <si>
    <t>Coin B is riskier to invest in.</t>
  </si>
  <si>
    <t>Why:</t>
  </si>
  <si>
    <t>Interpretation for investment:</t>
  </si>
  <si>
    <r>
      <t>Standard deviation measures volatility</t>
    </r>
    <r>
      <rPr>
        <sz val="12"/>
        <color theme="1"/>
        <rFont val="Times New Roman"/>
        <family val="1"/>
      </rPr>
      <t>, i.e., how much prices fluctuate around the average.</t>
    </r>
  </si>
  <si>
    <r>
      <t xml:space="preserve">A </t>
    </r>
    <r>
      <rPr>
        <b/>
        <sz val="12"/>
        <color theme="1"/>
        <rFont val="Times New Roman"/>
        <family val="1"/>
      </rPr>
      <t>higher standard deviation</t>
    </r>
    <r>
      <rPr>
        <sz val="12"/>
        <color theme="1"/>
        <rFont val="Times New Roman"/>
        <family val="1"/>
      </rPr>
      <t xml:space="preserve"> means </t>
    </r>
    <r>
      <rPr>
        <b/>
        <sz val="12"/>
        <color theme="1"/>
        <rFont val="Times New Roman"/>
        <family val="1"/>
      </rPr>
      <t>larger and more frequent price swings</t>
    </r>
    <r>
      <rPr>
        <sz val="12"/>
        <color theme="1"/>
        <rFont val="Times New Roman"/>
        <family val="1"/>
      </rPr>
      <t>.</t>
    </r>
  </si>
  <si>
    <r>
      <t xml:space="preserve">Coin A has a standard deviation of </t>
    </r>
    <r>
      <rPr>
        <b/>
        <sz val="12"/>
        <color theme="1"/>
        <rFont val="Times New Roman"/>
        <family val="1"/>
      </rPr>
      <t>$30</t>
    </r>
    <r>
      <rPr>
        <sz val="12"/>
        <color theme="1"/>
        <rFont val="Times New Roman"/>
        <family val="1"/>
      </rPr>
      <t>, showing relatively stable daily price movements.</t>
    </r>
  </si>
  <si>
    <r>
      <t xml:space="preserve">Coin B has a much higher standard deviation of </t>
    </r>
    <r>
      <rPr>
        <b/>
        <sz val="12"/>
        <color theme="1"/>
        <rFont val="Times New Roman"/>
        <family val="1"/>
      </rPr>
      <t>$120</t>
    </r>
    <r>
      <rPr>
        <sz val="12"/>
        <color theme="1"/>
        <rFont val="Times New Roman"/>
        <family val="1"/>
      </rPr>
      <t>, indicating strong and unpredictable fluctuations.</t>
    </r>
  </si>
  <si>
    <r>
      <t xml:space="preserve">Coin B’s price can rise sharply, but it can also </t>
    </r>
    <r>
      <rPr>
        <b/>
        <sz val="12"/>
        <color theme="1"/>
        <rFont val="Times New Roman"/>
        <family val="1"/>
      </rPr>
      <t>fall sharply</t>
    </r>
    <r>
      <rPr>
        <sz val="12"/>
        <color theme="1"/>
        <rFont val="Times New Roman"/>
        <family val="1"/>
      </rPr>
      <t>, increasing the risk of loss.</t>
    </r>
  </si>
  <si>
    <r>
      <t xml:space="preserve">Coin A is </t>
    </r>
    <r>
      <rPr>
        <b/>
        <sz val="12"/>
        <color theme="1"/>
        <rFont val="Times New Roman"/>
        <family val="1"/>
      </rPr>
      <t>less volatile</t>
    </r>
    <r>
      <rPr>
        <sz val="12"/>
        <color theme="1"/>
        <rFont val="Times New Roman"/>
        <family val="1"/>
      </rPr>
      <t>, making it comparatively safer for risk-averse investors.</t>
    </r>
  </si>
  <si>
    <r>
      <t xml:space="preserve"> </t>
    </r>
    <r>
      <rPr>
        <b/>
        <sz val="12"/>
        <color theme="1"/>
        <rFont val="Times New Roman"/>
        <family val="1"/>
      </rPr>
      <t>Conclusion:</t>
    </r>
    <r>
      <rPr>
        <sz val="12"/>
        <color theme="1"/>
        <rFont val="Times New Roman"/>
        <family val="1"/>
      </rPr>
      <t xml:space="preserve"> Coin B is riskier because its higher standard deviation reflects greater price volatility and uncertainty.</t>
    </r>
  </si>
  <si>
    <t>Question no 8</t>
  </si>
  <si>
    <t xml:space="preserve"> Which coin is riskier to invest in, and why?</t>
  </si>
  <si>
    <t>A finance student compares the daily price fluctuations of two cryptocurrencies. Coin A: standard deviation = $30 Coin B: standard deviation = $120</t>
  </si>
  <si>
    <t>A family records their monthly electricity usage (in kWh): [400, 420, 390, 450, 410]. Find the mean and standard deviation.</t>
  </si>
  <si>
    <t xml:space="preserve"> What do these values together tell you about the family’s energy use pattern?</t>
  </si>
  <si>
    <t>Monthly Electricity Usage:</t>
  </si>
  <si>
    <t>Mean Consumption:</t>
  </si>
  <si>
    <t>KWH</t>
  </si>
  <si>
    <t>Month</t>
  </si>
  <si>
    <t>Deviation</t>
  </si>
  <si>
    <t>Square of deviation</t>
  </si>
  <si>
    <t>Sum of the squared variation:</t>
  </si>
  <si>
    <t>Variance:</t>
  </si>
  <si>
    <t>Standard deviation</t>
  </si>
  <si>
    <t>What these values tell us together</t>
  </si>
  <si>
    <t>Mean (414 kWh):</t>
  </si>
  <si>
    <t>Standard deviation (≈20.6 kWh):</t>
  </si>
  <si>
    <r>
      <t xml:space="preserve">Represents the family’s </t>
    </r>
    <r>
      <rPr>
        <b/>
        <sz val="12"/>
        <color theme="1"/>
        <rFont val="Times New Roman"/>
        <family val="1"/>
      </rPr>
      <t>typical monthly electricity usage</t>
    </r>
    <r>
      <rPr>
        <sz val="12"/>
        <color theme="1"/>
        <rFont val="Times New Roman"/>
        <family val="1"/>
      </rPr>
      <t>.</t>
    </r>
  </si>
  <si>
    <r>
      <t xml:space="preserve">Shows that monthly usage usually varies by about </t>
    </r>
    <r>
      <rPr>
        <b/>
        <sz val="12"/>
        <color theme="1"/>
        <rFont val="Times New Roman"/>
        <family val="1"/>
      </rPr>
      <t>±20 kWh</t>
    </r>
    <r>
      <rPr>
        <sz val="12"/>
        <color theme="1"/>
        <rFont val="Times New Roman"/>
        <family val="1"/>
      </rPr>
      <t xml:space="preserve"> from the average.</t>
    </r>
  </si>
  <si>
    <r>
      <t xml:space="preserve">The electricity use is </t>
    </r>
    <r>
      <rPr>
        <b/>
        <sz val="12"/>
        <color theme="1"/>
        <rFont val="Times New Roman"/>
        <family val="1"/>
      </rPr>
      <t>fairly consistent</t>
    </r>
    <r>
      <rPr>
        <sz val="12"/>
        <color theme="1"/>
        <rFont val="Times New Roman"/>
        <family val="1"/>
      </rPr>
      <t>, not highly erratic.</t>
    </r>
  </si>
  <si>
    <r>
      <t xml:space="preserve">Most months fall roughly between </t>
    </r>
    <r>
      <rPr>
        <b/>
        <sz val="12"/>
        <color theme="1"/>
        <rFont val="Times New Roman"/>
        <family val="1"/>
      </rPr>
      <t>390 and 450 kWh</t>
    </r>
    <r>
      <rPr>
        <sz val="12"/>
        <color theme="1"/>
        <rFont val="Times New Roman"/>
        <family val="1"/>
      </rPr>
      <t>.</t>
    </r>
  </si>
  <si>
    <r>
      <t xml:space="preserve">There are </t>
    </r>
    <r>
      <rPr>
        <b/>
        <sz val="12"/>
        <color theme="1"/>
        <rFont val="Times New Roman"/>
        <family val="1"/>
      </rPr>
      <t>no extreme spikes or drops</t>
    </r>
    <r>
      <rPr>
        <sz val="12"/>
        <color theme="1"/>
        <rFont val="Times New Roman"/>
        <family val="1"/>
      </rPr>
      <t>, indicating stable household energy habits.</t>
    </r>
  </si>
  <si>
    <r>
      <t xml:space="preserve">The family has a </t>
    </r>
    <r>
      <rPr>
        <b/>
        <sz val="12"/>
        <color theme="1"/>
        <rFont val="Times New Roman"/>
        <family val="1"/>
      </rPr>
      <t>stable and predictable energy usage pattern</t>
    </r>
    <r>
      <rPr>
        <sz val="12"/>
        <color theme="1"/>
        <rFont val="Times New Roman"/>
        <family val="1"/>
      </rPr>
      <t xml:space="preserve">, with moderate month-to-month variation around an average of </t>
    </r>
    <r>
      <rPr>
        <b/>
        <sz val="12"/>
        <color theme="1"/>
        <rFont val="Times New Roman"/>
        <family val="1"/>
      </rPr>
      <t>414 kWh</t>
    </r>
    <r>
      <rPr>
        <sz val="12"/>
        <color theme="1"/>
        <rFont val="Times New Roman"/>
        <family val="1"/>
      </rPr>
      <t>.</t>
    </r>
  </si>
  <si>
    <t>Usage (KWh)</t>
  </si>
  <si>
    <t>Question no.9</t>
  </si>
  <si>
    <t>Question No 10</t>
  </si>
  <si>
    <t>What insights can these measures provide about the player’s scoring performance?</t>
  </si>
  <si>
    <t>Find the mean, median, mode, range, and standard deviation.</t>
  </si>
  <si>
    <t xml:space="preserve">A basketball player’s points in 8 games are recorded: [15, 18, 20, 22, 25, 17, 19, 21]. </t>
  </si>
  <si>
    <t>Players Points</t>
  </si>
  <si>
    <t>Calculations:</t>
  </si>
  <si>
    <t>Mean:</t>
  </si>
  <si>
    <t>Median:</t>
  </si>
  <si>
    <t>Ascending order:</t>
  </si>
  <si>
    <t xml:space="preserve">Median </t>
  </si>
  <si>
    <t>Mode:</t>
  </si>
  <si>
    <t>As no value is repeating. Then there is no mode.</t>
  </si>
  <si>
    <t xml:space="preserve">Range: </t>
  </si>
  <si>
    <t>Max. Value</t>
  </si>
  <si>
    <t>Min. Value</t>
  </si>
  <si>
    <t>Standard Deviation:</t>
  </si>
  <si>
    <t>Standard deviaton using population method:</t>
  </si>
  <si>
    <t>Insights about the player’s scoring performance</t>
  </si>
  <si>
    <t>Mean ≈ 19.6 points:</t>
  </si>
  <si>
    <t>Median = 19.5 points:</t>
  </si>
  <si>
    <t>No mode:</t>
  </si>
  <si>
    <t>The player doesn’t rely on a single repeated score—performance varies naturally.</t>
  </si>
  <si>
    <t>Range = 10 points:</t>
  </si>
  <si>
    <t>Standard deviation ≈ 2.9 points:</t>
  </si>
  <si>
    <r>
      <t xml:space="preserve">The player typically scores around </t>
    </r>
    <r>
      <rPr>
        <b/>
        <sz val="12"/>
        <color theme="1"/>
        <rFont val="Times New Roman"/>
        <family val="1"/>
      </rPr>
      <t>20 points per game</t>
    </r>
    <r>
      <rPr>
        <sz val="12"/>
        <color theme="1"/>
        <rFont val="Times New Roman"/>
        <family val="1"/>
      </rPr>
      <t>.</t>
    </r>
  </si>
  <si>
    <r>
      <t xml:space="preserve">Very close to the mean, showing the scoring is </t>
    </r>
    <r>
      <rPr>
        <b/>
        <sz val="12"/>
        <color theme="1"/>
        <rFont val="Times New Roman"/>
        <family val="1"/>
      </rPr>
      <t>balanced</t>
    </r>
    <r>
      <rPr>
        <sz val="12"/>
        <color theme="1"/>
        <rFont val="Times New Roman"/>
        <family val="1"/>
      </rPr>
      <t xml:space="preserve"> with no strong skew from extreme games.</t>
    </r>
  </si>
  <si>
    <r>
      <t xml:space="preserve">The difference between the lowest and highest scores is moderate, indicating </t>
    </r>
    <r>
      <rPr>
        <b/>
        <sz val="12"/>
        <color theme="1"/>
        <rFont val="Times New Roman"/>
        <family val="1"/>
      </rPr>
      <t>controlled variation</t>
    </r>
    <r>
      <rPr>
        <sz val="12"/>
        <color theme="1"/>
        <rFont val="Times New Roman"/>
        <family val="1"/>
      </rPr>
      <t>.</t>
    </r>
  </si>
  <si>
    <r>
      <t xml:space="preserve">Most games fall within about </t>
    </r>
    <r>
      <rPr>
        <b/>
        <sz val="12"/>
        <color theme="1"/>
        <rFont val="Times New Roman"/>
        <family val="1"/>
      </rPr>
      <t>±3 points of the average</t>
    </r>
    <r>
      <rPr>
        <sz val="12"/>
        <color theme="1"/>
        <rFont val="Times New Roman"/>
        <family val="1"/>
      </rPr>
      <t xml:space="preserve">, showing </t>
    </r>
    <r>
      <rPr>
        <b/>
        <sz val="12"/>
        <color theme="1"/>
        <rFont val="Times New Roman"/>
        <family val="1"/>
      </rPr>
      <t>consistent scoring</t>
    </r>
    <r>
      <rPr>
        <sz val="12"/>
        <color theme="1"/>
        <rFont val="Times New Roman"/>
        <family val="1"/>
      </rPr>
      <t>.</t>
    </r>
  </si>
  <si>
    <r>
      <t xml:space="preserve">The player is a </t>
    </r>
    <r>
      <rPr>
        <b/>
        <sz val="12"/>
        <color theme="1"/>
        <rFont val="Times New Roman"/>
        <family val="1"/>
      </rPr>
      <t>reliable and consistent scorer</t>
    </r>
    <r>
      <rPr>
        <sz val="12"/>
        <color theme="1"/>
        <rFont val="Times New Roman"/>
        <family val="1"/>
      </rPr>
      <t xml:space="preserve">, averaging about </t>
    </r>
    <r>
      <rPr>
        <b/>
        <sz val="12"/>
        <color theme="1"/>
        <rFont val="Times New Roman"/>
        <family val="1"/>
      </rPr>
      <t>20 points per game</t>
    </r>
    <r>
      <rPr>
        <sz val="12"/>
        <color theme="1"/>
        <rFont val="Times New Roman"/>
        <family val="1"/>
      </rPr>
      <t xml:space="preserve"> with </t>
    </r>
    <r>
      <rPr>
        <b/>
        <sz val="12"/>
        <color theme="1"/>
        <rFont val="Times New Roman"/>
        <family val="1"/>
      </rPr>
      <t>low variability</t>
    </r>
    <r>
      <rPr>
        <sz val="12"/>
        <color theme="1"/>
        <rFont val="Times New Roman"/>
        <family val="1"/>
      </rPr>
      <t>. There are no extreme highs or lows, suggesting steady performance across games.</t>
    </r>
  </si>
  <si>
    <t>Overall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</si>
</sst>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Adobe Myungjo Std M"/>
      <family val="1"/>
      <charset val="128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left" vertical="center" indent="2"/>
    </xf>
    <xf numFmtId="6" fontId="1" fillId="0" borderId="0" xfId="0" applyNumberFormat="1" applyFont="1"/>
    <xf numFmtId="6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quotePrefix="1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D6EA-34C1-43E9-A632-199FDED3E4D6}">
  <dimension ref="A1:G22"/>
  <sheetViews>
    <sheetView showGridLines="0" workbookViewId="0">
      <selection activeCell="J15" sqref="J15"/>
    </sheetView>
  </sheetViews>
  <sheetFormatPr defaultRowHeight="14.4" x14ac:dyDescent="0.3"/>
  <sheetData>
    <row r="1" spans="1:7" ht="17.399999999999999" x14ac:dyDescent="0.3">
      <c r="A1" s="5" t="s">
        <v>11</v>
      </c>
      <c r="B1" s="5"/>
    </row>
    <row r="2" spans="1:7" ht="17.399999999999999" x14ac:dyDescent="0.3">
      <c r="A2" s="5"/>
      <c r="B2" s="5" t="s">
        <v>10</v>
      </c>
    </row>
    <row r="3" spans="1:7" ht="17.399999999999999" x14ac:dyDescent="0.3">
      <c r="A3" s="5" t="s">
        <v>12</v>
      </c>
      <c r="B3" s="5"/>
    </row>
    <row r="4" spans="1:7" ht="15.6" x14ac:dyDescent="0.3">
      <c r="A4" s="1" t="s">
        <v>3</v>
      </c>
    </row>
    <row r="5" spans="1:7" ht="15.6" x14ac:dyDescent="0.3">
      <c r="A5" s="1"/>
    </row>
    <row r="6" spans="1:7" ht="15.6" x14ac:dyDescent="0.3">
      <c r="A6" s="2" t="s">
        <v>0</v>
      </c>
    </row>
    <row r="7" spans="1:7" ht="15.6" x14ac:dyDescent="0.3">
      <c r="A7" s="1"/>
    </row>
    <row r="8" spans="1:7" ht="15.6" x14ac:dyDescent="0.3">
      <c r="A8" s="1" t="s">
        <v>1</v>
      </c>
    </row>
    <row r="9" spans="1:7" ht="15.6" x14ac:dyDescent="0.3">
      <c r="A9" s="1">
        <v>10</v>
      </c>
      <c r="B9">
        <v>12</v>
      </c>
      <c r="C9">
        <v>11</v>
      </c>
      <c r="D9">
        <v>15</v>
      </c>
      <c r="E9">
        <v>14</v>
      </c>
      <c r="F9">
        <v>13</v>
      </c>
      <c r="G9">
        <v>12</v>
      </c>
    </row>
    <row r="10" spans="1:7" ht="15.6" x14ac:dyDescent="0.3">
      <c r="A10" s="1"/>
    </row>
    <row r="11" spans="1:7" ht="15.6" x14ac:dyDescent="0.3">
      <c r="A11" s="1" t="s">
        <v>13</v>
      </c>
      <c r="B11">
        <f>AVERAGE(A9:G9)</f>
        <v>12.428571428571429</v>
      </c>
    </row>
    <row r="12" spans="1:7" ht="15.6" x14ac:dyDescent="0.3">
      <c r="A12" s="1"/>
    </row>
    <row r="13" spans="1:7" ht="15.6" x14ac:dyDescent="0.3">
      <c r="A13" s="2" t="s">
        <v>2</v>
      </c>
    </row>
    <row r="14" spans="1:7" ht="15.6" x14ac:dyDescent="0.3">
      <c r="A14">
        <v>1</v>
      </c>
      <c r="B14" s="3" t="s">
        <v>4</v>
      </c>
    </row>
    <row r="15" spans="1:7" ht="15.6" x14ac:dyDescent="0.3">
      <c r="A15">
        <v>2</v>
      </c>
      <c r="B15" s="3" t="s">
        <v>5</v>
      </c>
    </row>
    <row r="16" spans="1:7" ht="15.6" x14ac:dyDescent="0.3">
      <c r="A16">
        <v>3</v>
      </c>
      <c r="B16" s="3" t="s">
        <v>6</v>
      </c>
    </row>
    <row r="17" spans="1:1" ht="15.6" x14ac:dyDescent="0.3">
      <c r="A17" s="3"/>
    </row>
    <row r="18" spans="1:1" ht="15.6" x14ac:dyDescent="0.3">
      <c r="A18" s="4" t="s">
        <v>7</v>
      </c>
    </row>
    <row r="19" spans="1:1" ht="15.6" x14ac:dyDescent="0.3">
      <c r="A19" s="3"/>
    </row>
    <row r="20" spans="1:1" ht="15.6" x14ac:dyDescent="0.3">
      <c r="A20" s="4" t="s">
        <v>8</v>
      </c>
    </row>
    <row r="21" spans="1:1" ht="15.6" x14ac:dyDescent="0.3">
      <c r="A21" s="1"/>
    </row>
    <row r="22" spans="1:1" ht="15.6" x14ac:dyDescent="0.3">
      <c r="A22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693A-CCD5-42C4-AB3F-EA357649262B}">
  <dimension ref="A1:H23"/>
  <sheetViews>
    <sheetView showGridLines="0" workbookViewId="0">
      <selection activeCell="K10" sqref="K10"/>
    </sheetView>
  </sheetViews>
  <sheetFormatPr defaultRowHeight="14.4" x14ac:dyDescent="0.3"/>
  <cols>
    <col min="1" max="1" width="13.21875" bestFit="1" customWidth="1"/>
  </cols>
  <sheetData>
    <row r="1" spans="1:8" ht="15.6" x14ac:dyDescent="0.3">
      <c r="A1" s="6" t="s">
        <v>15</v>
      </c>
      <c r="B1" s="6" t="s">
        <v>16</v>
      </c>
    </row>
    <row r="2" spans="1:8" ht="15.6" x14ac:dyDescent="0.3">
      <c r="A2" s="6"/>
      <c r="B2" s="6" t="s">
        <v>14</v>
      </c>
    </row>
    <row r="4" spans="1:8" x14ac:dyDescent="0.3">
      <c r="A4" s="7" t="s">
        <v>12</v>
      </c>
    </row>
    <row r="5" spans="1:8" ht="15.6" x14ac:dyDescent="0.3">
      <c r="B5" s="2" t="s">
        <v>17</v>
      </c>
    </row>
    <row r="6" spans="1:8" ht="15.6" x14ac:dyDescent="0.3">
      <c r="B6" s="1"/>
    </row>
    <row r="7" spans="1:8" ht="15.6" x14ac:dyDescent="0.3">
      <c r="B7" s="1" t="s">
        <v>18</v>
      </c>
    </row>
    <row r="8" spans="1:8" ht="15.6" x14ac:dyDescent="0.3">
      <c r="B8" s="1">
        <v>12</v>
      </c>
      <c r="C8">
        <v>15</v>
      </c>
      <c r="D8">
        <v>14</v>
      </c>
      <c r="E8">
        <v>16</v>
      </c>
      <c r="F8">
        <v>18</v>
      </c>
      <c r="G8">
        <v>20</v>
      </c>
      <c r="H8">
        <v>19</v>
      </c>
    </row>
    <row r="9" spans="1:8" ht="15.6" x14ac:dyDescent="0.3">
      <c r="B9" s="1"/>
    </row>
    <row r="10" spans="1:8" ht="15.6" x14ac:dyDescent="0.3">
      <c r="B10" s="1" t="s">
        <v>25</v>
      </c>
      <c r="C10">
        <f>AVERAGE(B8:H8)</f>
        <v>16.285714285714285</v>
      </c>
    </row>
    <row r="11" spans="1:8" ht="15.6" x14ac:dyDescent="0.3">
      <c r="B11" s="1"/>
    </row>
    <row r="12" spans="1:8" ht="15.6" x14ac:dyDescent="0.3">
      <c r="B12" s="2" t="s">
        <v>19</v>
      </c>
    </row>
    <row r="13" spans="1:8" ht="15.6" x14ac:dyDescent="0.3">
      <c r="B13" s="3"/>
    </row>
    <row r="14" spans="1:8" ht="15.6" x14ac:dyDescent="0.3">
      <c r="A14">
        <v>1</v>
      </c>
      <c r="B14" s="3" t="s">
        <v>21</v>
      </c>
    </row>
    <row r="15" spans="1:8" ht="15.6" x14ac:dyDescent="0.3">
      <c r="B15" s="3"/>
    </row>
    <row r="16" spans="1:8" ht="15.6" x14ac:dyDescent="0.3">
      <c r="A16">
        <v>2</v>
      </c>
      <c r="B16" s="3" t="s">
        <v>22</v>
      </c>
    </row>
    <row r="17" spans="1:2" ht="15.6" x14ac:dyDescent="0.3">
      <c r="B17" s="3"/>
    </row>
    <row r="18" spans="1:2" ht="15.6" x14ac:dyDescent="0.3">
      <c r="A18">
        <v>3</v>
      </c>
      <c r="B18" s="3" t="s">
        <v>23</v>
      </c>
    </row>
    <row r="19" spans="1:2" ht="15.6" x14ac:dyDescent="0.3">
      <c r="B19" s="3"/>
    </row>
    <row r="20" spans="1:2" ht="15.6" x14ac:dyDescent="0.3">
      <c r="A20">
        <v>4</v>
      </c>
      <c r="B20" s="3" t="s">
        <v>24</v>
      </c>
    </row>
    <row r="21" spans="1:2" ht="15.6" x14ac:dyDescent="0.3">
      <c r="B21" s="1"/>
    </row>
    <row r="22" spans="1:2" ht="15.6" x14ac:dyDescent="0.3">
      <c r="B22" s="6"/>
    </row>
    <row r="23" spans="1:2" ht="15.6" x14ac:dyDescent="0.3">
      <c r="B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29BC-7E28-4FD2-8440-59442624E384}">
  <dimension ref="A1:I35"/>
  <sheetViews>
    <sheetView showGridLines="0" workbookViewId="0">
      <selection activeCell="J1" sqref="J1"/>
    </sheetView>
  </sheetViews>
  <sheetFormatPr defaultRowHeight="14.4" x14ac:dyDescent="0.3"/>
  <cols>
    <col min="1" max="1" width="14.44140625" bestFit="1" customWidth="1"/>
  </cols>
  <sheetData>
    <row r="1" spans="1:9" ht="15.6" x14ac:dyDescent="0.3">
      <c r="A1" s="6" t="s">
        <v>41</v>
      </c>
      <c r="B1" s="6" t="s">
        <v>43</v>
      </c>
    </row>
    <row r="2" spans="1:9" ht="15.6" x14ac:dyDescent="0.3">
      <c r="A2" s="6"/>
      <c r="B2" s="6" t="s">
        <v>42</v>
      </c>
    </row>
    <row r="3" spans="1:9" x14ac:dyDescent="0.3">
      <c r="A3" t="s">
        <v>12</v>
      </c>
    </row>
    <row r="5" spans="1:9" ht="15.6" x14ac:dyDescent="0.3">
      <c r="B5" s="2" t="s">
        <v>26</v>
      </c>
    </row>
    <row r="6" spans="1:9" ht="15.6" x14ac:dyDescent="0.3">
      <c r="B6" s="1"/>
    </row>
    <row r="7" spans="1:9" ht="15.6" x14ac:dyDescent="0.3">
      <c r="B7" s="1" t="s">
        <v>27</v>
      </c>
    </row>
    <row r="8" spans="1:9" ht="15.6" x14ac:dyDescent="0.3">
      <c r="B8" s="1">
        <v>7</v>
      </c>
      <c r="C8">
        <v>8</v>
      </c>
      <c r="D8">
        <v>9</v>
      </c>
      <c r="E8">
        <v>8</v>
      </c>
      <c r="F8">
        <v>8</v>
      </c>
      <c r="G8">
        <v>10</v>
      </c>
      <c r="H8">
        <v>7</v>
      </c>
      <c r="I8">
        <v>9</v>
      </c>
    </row>
    <row r="9" spans="1:9" ht="15.6" x14ac:dyDescent="0.3">
      <c r="B9" s="3"/>
    </row>
    <row r="10" spans="1:9" ht="15.6" x14ac:dyDescent="0.3">
      <c r="B10" s="3" t="s">
        <v>28</v>
      </c>
    </row>
    <row r="11" spans="1:9" ht="15.6" x14ac:dyDescent="0.3">
      <c r="B11" s="3"/>
    </row>
    <row r="12" spans="1:9" ht="15.6" x14ac:dyDescent="0.3">
      <c r="B12" s="8" t="s">
        <v>29</v>
      </c>
    </row>
    <row r="13" spans="1:9" ht="15.6" x14ac:dyDescent="0.3">
      <c r="B13" s="8"/>
    </row>
    <row r="14" spans="1:9" ht="15.6" x14ac:dyDescent="0.3">
      <c r="B14" s="8" t="s">
        <v>35</v>
      </c>
    </row>
    <row r="15" spans="1:9" ht="15.6" x14ac:dyDescent="0.3">
      <c r="B15" s="8"/>
    </row>
    <row r="16" spans="1:9" ht="15.6" x14ac:dyDescent="0.3">
      <c r="B16" s="8" t="s">
        <v>30</v>
      </c>
    </row>
    <row r="17" spans="1:3" ht="15.6" x14ac:dyDescent="0.3">
      <c r="B17" s="8"/>
    </row>
    <row r="18" spans="1:3" ht="15.6" x14ac:dyDescent="0.3">
      <c r="B18" s="8" t="s">
        <v>31</v>
      </c>
    </row>
    <row r="19" spans="1:3" ht="15.6" x14ac:dyDescent="0.3">
      <c r="B19" s="1"/>
    </row>
    <row r="20" spans="1:3" ht="15.6" x14ac:dyDescent="0.3">
      <c r="B20" s="2" t="s">
        <v>32</v>
      </c>
      <c r="C20" s="13" t="s">
        <v>88</v>
      </c>
    </row>
    <row r="21" spans="1:3" ht="15.6" x14ac:dyDescent="0.3">
      <c r="B21" s="1"/>
    </row>
    <row r="22" spans="1:3" ht="15.6" x14ac:dyDescent="0.3">
      <c r="B22" s="1" t="s">
        <v>36</v>
      </c>
    </row>
    <row r="23" spans="1:3" ht="15.6" x14ac:dyDescent="0.3">
      <c r="B23" s="1"/>
    </row>
    <row r="24" spans="1:3" ht="15.6" x14ac:dyDescent="0.3">
      <c r="B24" s="2" t="s">
        <v>33</v>
      </c>
    </row>
    <row r="25" spans="1:3" ht="15.6" x14ac:dyDescent="0.3">
      <c r="B25" s="3"/>
    </row>
    <row r="26" spans="1:3" ht="15.6" x14ac:dyDescent="0.3">
      <c r="A26">
        <v>1</v>
      </c>
      <c r="B26" s="3" t="s">
        <v>37</v>
      </c>
    </row>
    <row r="27" spans="1:3" ht="15.6" x14ac:dyDescent="0.3">
      <c r="B27" s="3"/>
    </row>
    <row r="28" spans="1:3" ht="15.6" x14ac:dyDescent="0.3">
      <c r="A28">
        <v>2</v>
      </c>
      <c r="B28" s="3" t="s">
        <v>38</v>
      </c>
    </row>
    <row r="29" spans="1:3" ht="15.6" x14ac:dyDescent="0.3">
      <c r="B29" s="3"/>
    </row>
    <row r="30" spans="1:3" ht="15.6" x14ac:dyDescent="0.3">
      <c r="A30">
        <v>3</v>
      </c>
      <c r="B30" s="3" t="s">
        <v>39</v>
      </c>
    </row>
    <row r="31" spans="1:3" ht="15.6" x14ac:dyDescent="0.3">
      <c r="B31" s="3"/>
    </row>
    <row r="32" spans="1:3" ht="15.6" x14ac:dyDescent="0.3">
      <c r="A32">
        <v>4</v>
      </c>
      <c r="B32" s="3" t="s">
        <v>40</v>
      </c>
    </row>
    <row r="33" spans="2:2" ht="15.6" x14ac:dyDescent="0.3">
      <c r="B33" s="1"/>
    </row>
    <row r="34" spans="2:2" ht="15.6" x14ac:dyDescent="0.3">
      <c r="B34" s="6" t="s">
        <v>20</v>
      </c>
    </row>
    <row r="35" spans="2:2" ht="15.6" x14ac:dyDescent="0.3">
      <c r="B35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FB38-2B6B-4EC4-9671-754417CFCEB1}">
  <dimension ref="A1:F30"/>
  <sheetViews>
    <sheetView showGridLines="0" workbookViewId="0">
      <selection activeCell="G8" sqref="G8"/>
    </sheetView>
  </sheetViews>
  <sheetFormatPr defaultRowHeight="14.4" x14ac:dyDescent="0.3"/>
  <cols>
    <col min="1" max="1" width="14.44140625" bestFit="1" customWidth="1"/>
  </cols>
  <sheetData>
    <row r="1" spans="1:6" ht="15.6" x14ac:dyDescent="0.3">
      <c r="A1" s="6" t="s">
        <v>57</v>
      </c>
      <c r="B1" s="6" t="s">
        <v>56</v>
      </c>
    </row>
    <row r="2" spans="1:6" ht="15.6" x14ac:dyDescent="0.3">
      <c r="A2" s="6"/>
      <c r="B2" s="6" t="s">
        <v>55</v>
      </c>
    </row>
    <row r="4" spans="1:6" x14ac:dyDescent="0.3">
      <c r="A4" t="s">
        <v>12</v>
      </c>
    </row>
    <row r="5" spans="1:6" ht="15.6" x14ac:dyDescent="0.3">
      <c r="B5" s="2" t="s">
        <v>44</v>
      </c>
    </row>
    <row r="6" spans="1:6" ht="15.6" x14ac:dyDescent="0.3">
      <c r="B6" s="1"/>
    </row>
    <row r="7" spans="1:6" ht="15.6" x14ac:dyDescent="0.3">
      <c r="B7" s="1" t="s">
        <v>45</v>
      </c>
    </row>
    <row r="8" spans="1:6" ht="15.6" x14ac:dyDescent="0.3">
      <c r="B8" s="9">
        <v>8000</v>
      </c>
      <c r="C8" s="10">
        <v>9500</v>
      </c>
      <c r="D8" s="10">
        <v>10200</v>
      </c>
      <c r="E8" s="10">
        <v>11000</v>
      </c>
      <c r="F8" s="10">
        <v>50000</v>
      </c>
    </row>
    <row r="9" spans="1:6" ht="15.6" x14ac:dyDescent="0.3">
      <c r="B9" s="3"/>
    </row>
    <row r="10" spans="1:6" ht="15.6" x14ac:dyDescent="0.3">
      <c r="B10" s="3" t="s">
        <v>49</v>
      </c>
    </row>
    <row r="11" spans="1:6" ht="15.6" x14ac:dyDescent="0.3">
      <c r="B11" s="3"/>
    </row>
    <row r="12" spans="1:6" ht="15.6" x14ac:dyDescent="0.3">
      <c r="B12" s="3" t="s">
        <v>50</v>
      </c>
    </row>
    <row r="13" spans="1:6" ht="15.6" x14ac:dyDescent="0.3">
      <c r="B13" s="3"/>
    </row>
    <row r="14" spans="1:6" ht="15.6" x14ac:dyDescent="0.3">
      <c r="B14" s="3" t="s">
        <v>51</v>
      </c>
    </row>
    <row r="15" spans="1:6" ht="15.6" x14ac:dyDescent="0.3">
      <c r="B15" s="1"/>
    </row>
    <row r="16" spans="1:6" ht="15.6" x14ac:dyDescent="0.3">
      <c r="B16" s="2" t="s">
        <v>46</v>
      </c>
    </row>
    <row r="17" spans="2:2" ht="15.6" x14ac:dyDescent="0.3">
      <c r="B17" s="1"/>
    </row>
    <row r="18" spans="2:2" ht="15.6" x14ac:dyDescent="0.3">
      <c r="B18" s="1" t="s">
        <v>47</v>
      </c>
    </row>
    <row r="19" spans="2:2" ht="15.6" x14ac:dyDescent="0.3">
      <c r="B19" s="1"/>
    </row>
    <row r="20" spans="2:2" ht="15.6" x14ac:dyDescent="0.3">
      <c r="B20" s="1" t="s">
        <v>52</v>
      </c>
    </row>
    <row r="21" spans="2:2" ht="15.6" x14ac:dyDescent="0.3">
      <c r="B21" s="1"/>
    </row>
    <row r="22" spans="2:2" ht="15.6" x14ac:dyDescent="0.3">
      <c r="B22" s="1" t="s">
        <v>53</v>
      </c>
    </row>
    <row r="23" spans="2:2" ht="15.6" x14ac:dyDescent="0.3">
      <c r="B23" s="1"/>
    </row>
    <row r="27" spans="2:2" ht="15.6" x14ac:dyDescent="0.3">
      <c r="B27" s="1"/>
    </row>
    <row r="28" spans="2:2" ht="15.6" x14ac:dyDescent="0.3">
      <c r="B28" s="2" t="s">
        <v>48</v>
      </c>
    </row>
    <row r="29" spans="2:2" ht="15.6" x14ac:dyDescent="0.3">
      <c r="B29" s="1"/>
    </row>
    <row r="30" spans="2:2" ht="15.6" x14ac:dyDescent="0.3">
      <c r="B30" s="1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97E7-8053-4482-B3B1-ECF1EBAB231C}">
  <dimension ref="A1:E26"/>
  <sheetViews>
    <sheetView showGridLines="0" workbookViewId="0">
      <selection activeCell="H12" sqref="H12"/>
    </sheetView>
  </sheetViews>
  <sheetFormatPr defaultRowHeight="14.4" x14ac:dyDescent="0.3"/>
  <cols>
    <col min="1" max="1" width="14" bestFit="1" customWidth="1"/>
  </cols>
  <sheetData>
    <row r="1" spans="1:5" ht="15.6" x14ac:dyDescent="0.3">
      <c r="A1" s="6" t="s">
        <v>60</v>
      </c>
      <c r="B1" s="6" t="s">
        <v>59</v>
      </c>
    </row>
    <row r="2" spans="1:5" ht="15.6" x14ac:dyDescent="0.3">
      <c r="A2" s="6"/>
      <c r="B2" s="6" t="s">
        <v>58</v>
      </c>
    </row>
    <row r="4" spans="1:5" ht="15.6" x14ac:dyDescent="0.3">
      <c r="A4" s="11" t="s">
        <v>12</v>
      </c>
    </row>
    <row r="5" spans="1:5" ht="15.6" x14ac:dyDescent="0.3">
      <c r="B5" s="6" t="s">
        <v>61</v>
      </c>
    </row>
    <row r="6" spans="1:5" ht="15.6" x14ac:dyDescent="0.3">
      <c r="B6" s="1"/>
    </row>
    <row r="7" spans="1:5" ht="15.6" x14ac:dyDescent="0.3">
      <c r="B7" s="1" t="s">
        <v>62</v>
      </c>
    </row>
    <row r="8" spans="1:5" ht="15.6" x14ac:dyDescent="0.3">
      <c r="B8" s="1" t="s">
        <v>63</v>
      </c>
    </row>
    <row r="9" spans="1:5" ht="15.6" x14ac:dyDescent="0.3">
      <c r="B9" s="1"/>
    </row>
    <row r="10" spans="1:5" ht="15.6" x14ac:dyDescent="0.3">
      <c r="B10" s="6" t="s">
        <v>85</v>
      </c>
      <c r="D10" s="12">
        <v>40</v>
      </c>
      <c r="E10" s="12" t="s">
        <v>87</v>
      </c>
    </row>
    <row r="11" spans="1:5" ht="15.6" x14ac:dyDescent="0.3">
      <c r="B11" s="1"/>
      <c r="D11" s="12"/>
      <c r="E11" s="12"/>
    </row>
    <row r="12" spans="1:5" ht="15.6" x14ac:dyDescent="0.3">
      <c r="B12" s="6" t="s">
        <v>86</v>
      </c>
      <c r="D12" s="12">
        <v>25</v>
      </c>
      <c r="E12" s="12" t="s">
        <v>87</v>
      </c>
    </row>
    <row r="13" spans="1:5" ht="15.6" x14ac:dyDescent="0.3">
      <c r="B13" s="6"/>
    </row>
    <row r="14" spans="1:5" ht="15.6" x14ac:dyDescent="0.3">
      <c r="B14" s="6" t="s">
        <v>81</v>
      </c>
      <c r="C14" s="12">
        <f>D10-D12</f>
        <v>15</v>
      </c>
      <c r="D14" s="12" t="s">
        <v>87</v>
      </c>
    </row>
    <row r="15" spans="1:5" ht="15.6" x14ac:dyDescent="0.3">
      <c r="B15" s="1"/>
    </row>
    <row r="16" spans="1:5" ht="15.6" x14ac:dyDescent="0.3">
      <c r="B16" s="6" t="s">
        <v>64</v>
      </c>
    </row>
    <row r="17" spans="2:2" ht="15.6" x14ac:dyDescent="0.3">
      <c r="B17" s="1"/>
    </row>
    <row r="18" spans="2:2" ht="15.6" x14ac:dyDescent="0.3">
      <c r="B18" s="1" t="s">
        <v>65</v>
      </c>
    </row>
    <row r="19" spans="2:2" ht="15.6" x14ac:dyDescent="0.3">
      <c r="B19" s="1"/>
    </row>
    <row r="20" spans="2:2" ht="15.6" x14ac:dyDescent="0.3">
      <c r="B20" s="1" t="s">
        <v>66</v>
      </c>
    </row>
    <row r="21" spans="2:2" ht="15.6" x14ac:dyDescent="0.3">
      <c r="B21" s="1"/>
    </row>
    <row r="22" spans="2:2" ht="15.6" x14ac:dyDescent="0.3">
      <c r="B22" s="1" t="s">
        <v>67</v>
      </c>
    </row>
    <row r="23" spans="2:2" ht="15.6" x14ac:dyDescent="0.3">
      <c r="B23" s="1"/>
    </row>
    <row r="24" spans="2:2" ht="15.6" x14ac:dyDescent="0.3">
      <c r="B24" s="6" t="s">
        <v>48</v>
      </c>
    </row>
    <row r="25" spans="2:2" ht="15.6" x14ac:dyDescent="0.3">
      <c r="B25" s="1"/>
    </row>
    <row r="26" spans="2:2" ht="15.6" x14ac:dyDescent="0.3">
      <c r="B26" s="1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41F8-6A8E-44E5-A706-A672215E9C47}">
  <dimension ref="A1:E27"/>
  <sheetViews>
    <sheetView showGridLines="0" workbookViewId="0">
      <selection activeCell="I1" sqref="I1"/>
    </sheetView>
  </sheetViews>
  <sheetFormatPr defaultRowHeight="14.4" x14ac:dyDescent="0.3"/>
  <cols>
    <col min="1" max="1" width="15" bestFit="1" customWidth="1"/>
  </cols>
  <sheetData>
    <row r="1" spans="1:5" ht="15.6" x14ac:dyDescent="0.3">
      <c r="A1" s="6" t="s">
        <v>80</v>
      </c>
      <c r="B1" s="6" t="s">
        <v>70</v>
      </c>
    </row>
    <row r="2" spans="1:5" ht="15.6" x14ac:dyDescent="0.3">
      <c r="A2" s="6"/>
      <c r="B2" s="6" t="s">
        <v>69</v>
      </c>
    </row>
    <row r="4" spans="1:5" x14ac:dyDescent="0.3">
      <c r="A4" t="s">
        <v>12</v>
      </c>
    </row>
    <row r="5" spans="1:5" ht="15.6" x14ac:dyDescent="0.3">
      <c r="B5" s="1" t="s">
        <v>74</v>
      </c>
    </row>
    <row r="6" spans="1:5" ht="15.6" x14ac:dyDescent="0.3">
      <c r="B6" s="1"/>
    </row>
    <row r="7" spans="1:5" ht="15.6" x14ac:dyDescent="0.3">
      <c r="B7" s="2" t="s">
        <v>71</v>
      </c>
    </row>
    <row r="8" spans="1:5" ht="15.6" x14ac:dyDescent="0.3">
      <c r="B8" s="3"/>
    </row>
    <row r="9" spans="1:5" ht="15.6" x14ac:dyDescent="0.3">
      <c r="B9" s="4" t="s">
        <v>82</v>
      </c>
      <c r="D9" s="12">
        <v>120</v>
      </c>
      <c r="E9" s="12" t="s">
        <v>84</v>
      </c>
    </row>
    <row r="10" spans="1:5" ht="15.6" x14ac:dyDescent="0.3">
      <c r="B10" s="3"/>
      <c r="D10" s="12"/>
      <c r="E10" s="12"/>
    </row>
    <row r="11" spans="1:5" ht="15.6" x14ac:dyDescent="0.3">
      <c r="B11" s="4" t="s">
        <v>83</v>
      </c>
      <c r="D11" s="12">
        <v>98</v>
      </c>
      <c r="E11" s="12" t="s">
        <v>84</v>
      </c>
    </row>
    <row r="12" spans="1:5" ht="15.6" x14ac:dyDescent="0.3">
      <c r="B12" s="4"/>
      <c r="D12" s="12"/>
      <c r="E12" s="12"/>
    </row>
    <row r="13" spans="1:5" ht="15.6" x14ac:dyDescent="0.3">
      <c r="B13" s="4" t="s">
        <v>81</v>
      </c>
      <c r="C13" s="12">
        <f>D9-D11</f>
        <v>22</v>
      </c>
      <c r="D13" s="12" t="s">
        <v>84</v>
      </c>
      <c r="E13" s="12"/>
    </row>
    <row r="14" spans="1:5" ht="15.6" x14ac:dyDescent="0.3">
      <c r="B14" s="1"/>
    </row>
    <row r="15" spans="1:5" ht="15.6" x14ac:dyDescent="0.3">
      <c r="B15" s="2" t="s">
        <v>72</v>
      </c>
    </row>
    <row r="16" spans="1:5" ht="15.6" x14ac:dyDescent="0.3">
      <c r="B16" s="1"/>
    </row>
    <row r="17" spans="2:2" ht="15.6" x14ac:dyDescent="0.3">
      <c r="B17" s="1" t="s">
        <v>75</v>
      </c>
    </row>
    <row r="18" spans="2:2" ht="15.6" x14ac:dyDescent="0.3">
      <c r="B18" s="1"/>
    </row>
    <row r="19" spans="2:2" ht="15.6" x14ac:dyDescent="0.3">
      <c r="B19" s="1" t="s">
        <v>73</v>
      </c>
    </row>
    <row r="20" spans="2:2" ht="15.6" x14ac:dyDescent="0.3">
      <c r="B20" s="3"/>
    </row>
    <row r="21" spans="2:2" ht="15.6" x14ac:dyDescent="0.3">
      <c r="B21" s="3" t="s">
        <v>76</v>
      </c>
    </row>
    <row r="22" spans="2:2" ht="15.6" x14ac:dyDescent="0.3">
      <c r="B22" s="3"/>
    </row>
    <row r="23" spans="2:2" ht="15.6" x14ac:dyDescent="0.3">
      <c r="B23" s="3" t="s">
        <v>77</v>
      </c>
    </row>
    <row r="24" spans="2:2" ht="15.6" x14ac:dyDescent="0.3">
      <c r="B24" s="3"/>
    </row>
    <row r="25" spans="2:2" ht="15.6" x14ac:dyDescent="0.3">
      <c r="B25" s="3" t="s">
        <v>78</v>
      </c>
    </row>
    <row r="26" spans="2:2" ht="15.6" x14ac:dyDescent="0.3">
      <c r="B26" s="1"/>
    </row>
    <row r="27" spans="2:2" ht="15.6" x14ac:dyDescent="0.3">
      <c r="B27" s="1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F6CD-4240-427A-8722-F5D7A91FF06C}">
  <dimension ref="A1:B25"/>
  <sheetViews>
    <sheetView showGridLines="0" workbookViewId="0">
      <selection activeCell="A5" sqref="A5"/>
    </sheetView>
  </sheetViews>
  <sheetFormatPr defaultRowHeight="14.4" x14ac:dyDescent="0.3"/>
  <cols>
    <col min="1" max="1" width="12.6640625" bestFit="1" customWidth="1"/>
  </cols>
  <sheetData>
    <row r="1" spans="1:2" x14ac:dyDescent="0.3">
      <c r="A1" s="12" t="s">
        <v>103</v>
      </c>
      <c r="B1" s="12" t="s">
        <v>105</v>
      </c>
    </row>
    <row r="2" spans="1:2" x14ac:dyDescent="0.3">
      <c r="A2" s="12"/>
      <c r="B2" s="12" t="s">
        <v>104</v>
      </c>
    </row>
    <row r="4" spans="1:2" x14ac:dyDescent="0.3">
      <c r="A4" t="s">
        <v>12</v>
      </c>
    </row>
    <row r="5" spans="1:2" ht="15.6" x14ac:dyDescent="0.3">
      <c r="B5" s="1" t="s">
        <v>95</v>
      </c>
    </row>
    <row r="6" spans="1:2" ht="15.6" x14ac:dyDescent="0.3">
      <c r="A6">
        <v>1</v>
      </c>
      <c r="B6" s="3" t="s">
        <v>96</v>
      </c>
    </row>
    <row r="7" spans="1:2" ht="15.6" x14ac:dyDescent="0.3">
      <c r="A7">
        <v>2</v>
      </c>
      <c r="B7" s="3" t="s">
        <v>97</v>
      </c>
    </row>
    <row r="8" spans="1:2" ht="15.6" x14ac:dyDescent="0.3">
      <c r="B8" s="3"/>
    </row>
    <row r="9" spans="1:2" ht="15.6" x14ac:dyDescent="0.3">
      <c r="B9" s="1" t="s">
        <v>89</v>
      </c>
    </row>
    <row r="10" spans="1:2" ht="15.6" x14ac:dyDescent="0.3">
      <c r="A10">
        <v>1</v>
      </c>
      <c r="B10" s="3" t="s">
        <v>90</v>
      </c>
    </row>
    <row r="11" spans="1:2" ht="15.6" x14ac:dyDescent="0.3">
      <c r="A11">
        <v>2</v>
      </c>
      <c r="B11" s="3" t="s">
        <v>91</v>
      </c>
    </row>
    <row r="12" spans="1:2" ht="15.6" x14ac:dyDescent="0.3">
      <c r="A12">
        <v>3</v>
      </c>
      <c r="B12" s="3" t="s">
        <v>92</v>
      </c>
    </row>
    <row r="13" spans="1:2" ht="15.6" x14ac:dyDescent="0.3">
      <c r="B13" s="1" t="s">
        <v>98</v>
      </c>
    </row>
    <row r="14" spans="1:2" ht="15.6" x14ac:dyDescent="0.3">
      <c r="B14" s="1"/>
    </row>
    <row r="15" spans="1:2" ht="15.6" x14ac:dyDescent="0.3">
      <c r="B15" s="6" t="s">
        <v>93</v>
      </c>
    </row>
    <row r="16" spans="1:2" ht="15.6" x14ac:dyDescent="0.3">
      <c r="B16" s="1"/>
    </row>
    <row r="17" spans="2:2" ht="15.6" x14ac:dyDescent="0.3">
      <c r="B17" s="2" t="s">
        <v>94</v>
      </c>
    </row>
    <row r="18" spans="2:2" ht="15.6" x14ac:dyDescent="0.3">
      <c r="B18" s="3"/>
    </row>
    <row r="19" spans="2:2" ht="15.6" x14ac:dyDescent="0.3">
      <c r="B19" s="4" t="s">
        <v>99</v>
      </c>
    </row>
    <row r="20" spans="2:2" ht="15.6" x14ac:dyDescent="0.3">
      <c r="B20" s="3"/>
    </row>
    <row r="21" spans="2:2" ht="15.6" x14ac:dyDescent="0.3">
      <c r="B21" s="3" t="s">
        <v>100</v>
      </c>
    </row>
    <row r="22" spans="2:2" ht="15.6" x14ac:dyDescent="0.3">
      <c r="B22" s="3"/>
    </row>
    <row r="23" spans="2:2" ht="15.6" x14ac:dyDescent="0.3">
      <c r="B23" s="3" t="s">
        <v>101</v>
      </c>
    </row>
    <row r="24" spans="2:2" ht="15.6" x14ac:dyDescent="0.3">
      <c r="B24" s="1"/>
    </row>
    <row r="25" spans="2:2" ht="15.6" x14ac:dyDescent="0.3">
      <c r="B25" s="1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FAE9-3C51-42D4-8007-1B6438171070}">
  <dimension ref="A1:B23"/>
  <sheetViews>
    <sheetView showGridLines="0" workbookViewId="0">
      <selection activeCell="J9" sqref="J9"/>
    </sheetView>
  </sheetViews>
  <sheetFormatPr defaultRowHeight="14.4" x14ac:dyDescent="0.3"/>
  <cols>
    <col min="1" max="1" width="14" bestFit="1" customWidth="1"/>
  </cols>
  <sheetData>
    <row r="1" spans="1:2" ht="15.6" x14ac:dyDescent="0.3">
      <c r="A1" s="6" t="s">
        <v>116</v>
      </c>
      <c r="B1" s="6" t="s">
        <v>118</v>
      </c>
    </row>
    <row r="2" spans="1:2" ht="15.6" x14ac:dyDescent="0.3">
      <c r="A2" s="6"/>
      <c r="B2" s="6" t="s">
        <v>117</v>
      </c>
    </row>
    <row r="4" spans="1:2" x14ac:dyDescent="0.3">
      <c r="A4" t="s">
        <v>12</v>
      </c>
    </row>
    <row r="5" spans="1:2" ht="15.6" x14ac:dyDescent="0.3">
      <c r="B5" s="6" t="s">
        <v>106</v>
      </c>
    </row>
    <row r="6" spans="1:2" ht="15.6" x14ac:dyDescent="0.3">
      <c r="B6" s="1"/>
    </row>
    <row r="7" spans="1:2" ht="15.6" x14ac:dyDescent="0.3">
      <c r="B7" s="2" t="s">
        <v>107</v>
      </c>
    </row>
    <row r="8" spans="1:2" ht="15.6" x14ac:dyDescent="0.3">
      <c r="B8" s="3"/>
    </row>
    <row r="9" spans="1:2" ht="15.6" x14ac:dyDescent="0.3">
      <c r="B9" s="4" t="s">
        <v>109</v>
      </c>
    </row>
    <row r="10" spans="1:2" ht="15.6" x14ac:dyDescent="0.3">
      <c r="B10" s="3"/>
    </row>
    <row r="11" spans="1:2" ht="15.6" x14ac:dyDescent="0.3">
      <c r="B11" s="3" t="s">
        <v>110</v>
      </c>
    </row>
    <row r="12" spans="1:2" ht="15.6" x14ac:dyDescent="0.3">
      <c r="B12" s="3"/>
    </row>
    <row r="13" spans="1:2" ht="15.6" x14ac:dyDescent="0.3">
      <c r="B13" s="3" t="s">
        <v>111</v>
      </c>
    </row>
    <row r="14" spans="1:2" ht="15.6" x14ac:dyDescent="0.3">
      <c r="B14" s="3"/>
    </row>
    <row r="15" spans="1:2" ht="15.6" x14ac:dyDescent="0.3">
      <c r="B15" s="3" t="s">
        <v>112</v>
      </c>
    </row>
    <row r="16" spans="1:2" ht="15.6" x14ac:dyDescent="0.3">
      <c r="B16" s="1"/>
    </row>
    <row r="17" spans="2:2" ht="15.6" x14ac:dyDescent="0.3">
      <c r="B17" s="2" t="s">
        <v>108</v>
      </c>
    </row>
    <row r="18" spans="2:2" ht="15.6" x14ac:dyDescent="0.3">
      <c r="B18" s="3"/>
    </row>
    <row r="19" spans="2:2" ht="15.6" x14ac:dyDescent="0.3">
      <c r="B19" s="3" t="s">
        <v>113</v>
      </c>
    </row>
    <row r="20" spans="2:2" ht="15.6" x14ac:dyDescent="0.3">
      <c r="B20" s="3"/>
    </row>
    <row r="21" spans="2:2" ht="15.6" x14ac:dyDescent="0.3">
      <c r="B21" s="3" t="s">
        <v>114</v>
      </c>
    </row>
    <row r="22" spans="2:2" ht="15.6" x14ac:dyDescent="0.3">
      <c r="B22" s="1"/>
    </row>
    <row r="23" spans="2:2" ht="15.6" x14ac:dyDescent="0.3">
      <c r="B23" s="1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CB2F-16CE-40DD-A645-508A3EE33270}">
  <dimension ref="A1:I43"/>
  <sheetViews>
    <sheetView showGridLines="0" workbookViewId="0">
      <selection activeCell="K14" sqref="K14"/>
    </sheetView>
  </sheetViews>
  <sheetFormatPr defaultRowHeight="14.4" x14ac:dyDescent="0.3"/>
  <cols>
    <col min="1" max="1" width="14" bestFit="1" customWidth="1"/>
    <col min="3" max="3" width="10.33203125" customWidth="1"/>
    <col min="5" max="5" width="9.5546875" bestFit="1" customWidth="1"/>
  </cols>
  <sheetData>
    <row r="1" spans="1:9" ht="15.6" x14ac:dyDescent="0.3">
      <c r="A1" s="6" t="s">
        <v>140</v>
      </c>
      <c r="B1" s="6" t="s">
        <v>119</v>
      </c>
    </row>
    <row r="2" spans="1:9" ht="15.6" x14ac:dyDescent="0.3">
      <c r="A2" s="6"/>
      <c r="B2" s="6" t="s">
        <v>120</v>
      </c>
    </row>
    <row r="4" spans="1:9" x14ac:dyDescent="0.3">
      <c r="A4" t="s">
        <v>12</v>
      </c>
    </row>
    <row r="5" spans="1:9" x14ac:dyDescent="0.3">
      <c r="B5" t="s">
        <v>121</v>
      </c>
      <c r="E5">
        <v>400</v>
      </c>
      <c r="F5">
        <v>420</v>
      </c>
      <c r="G5">
        <v>390</v>
      </c>
      <c r="H5">
        <v>450</v>
      </c>
      <c r="I5">
        <v>410</v>
      </c>
    </row>
    <row r="7" spans="1:9" x14ac:dyDescent="0.3">
      <c r="C7" t="s">
        <v>122</v>
      </c>
      <c r="E7" s="12">
        <f>AVERAGE(E5:I5)</f>
        <v>414</v>
      </c>
      <c r="F7" s="12" t="s">
        <v>123</v>
      </c>
    </row>
    <row r="10" spans="1:9" x14ac:dyDescent="0.3">
      <c r="B10" s="14" t="s">
        <v>124</v>
      </c>
      <c r="C10" s="14" t="s">
        <v>139</v>
      </c>
      <c r="D10" s="14" t="s">
        <v>125</v>
      </c>
      <c r="E10" s="15" t="s">
        <v>126</v>
      </c>
      <c r="F10" s="15"/>
    </row>
    <row r="11" spans="1:9" x14ac:dyDescent="0.3">
      <c r="B11" s="14">
        <v>1</v>
      </c>
      <c r="C11" s="14">
        <v>400</v>
      </c>
      <c r="D11" s="14">
        <f>$C11-$E$7</f>
        <v>-14</v>
      </c>
      <c r="E11" s="15">
        <f>$D11*$D11</f>
        <v>196</v>
      </c>
      <c r="F11" s="15"/>
    </row>
    <row r="12" spans="1:9" x14ac:dyDescent="0.3">
      <c r="B12" s="14">
        <v>2</v>
      </c>
      <c r="C12" s="14">
        <v>420</v>
      </c>
      <c r="D12" s="14">
        <f t="shared" ref="D12:D15" si="0">$C12-$E$7</f>
        <v>6</v>
      </c>
      <c r="E12" s="15">
        <f t="shared" ref="E12:E15" si="1">$D12*$D12</f>
        <v>36</v>
      </c>
      <c r="F12" s="15"/>
    </row>
    <row r="13" spans="1:9" x14ac:dyDescent="0.3">
      <c r="B13" s="14">
        <v>3</v>
      </c>
      <c r="C13" s="14">
        <v>390</v>
      </c>
      <c r="D13" s="14">
        <f t="shared" si="0"/>
        <v>-24</v>
      </c>
      <c r="E13" s="15">
        <f t="shared" si="1"/>
        <v>576</v>
      </c>
      <c r="F13" s="15"/>
    </row>
    <row r="14" spans="1:9" x14ac:dyDescent="0.3">
      <c r="B14" s="14">
        <v>4</v>
      </c>
      <c r="C14" s="14">
        <v>450</v>
      </c>
      <c r="D14" s="14">
        <f t="shared" si="0"/>
        <v>36</v>
      </c>
      <c r="E14" s="15">
        <f t="shared" si="1"/>
        <v>1296</v>
      </c>
      <c r="F14" s="15"/>
    </row>
    <row r="15" spans="1:9" x14ac:dyDescent="0.3">
      <c r="B15" s="14">
        <v>5</v>
      </c>
      <c r="C15" s="14">
        <v>410</v>
      </c>
      <c r="D15" s="14">
        <f t="shared" si="0"/>
        <v>-4</v>
      </c>
      <c r="E15" s="15">
        <f t="shared" si="1"/>
        <v>16</v>
      </c>
      <c r="F15" s="15"/>
    </row>
    <row r="18" spans="2:6" x14ac:dyDescent="0.3">
      <c r="B18" s="16" t="s">
        <v>127</v>
      </c>
      <c r="C18" s="16"/>
      <c r="D18" s="16"/>
      <c r="E18" s="16"/>
      <c r="F18">
        <f>SUM(E11:F15)</f>
        <v>2120</v>
      </c>
    </row>
    <row r="20" spans="2:6" x14ac:dyDescent="0.3">
      <c r="C20" s="12" t="s">
        <v>128</v>
      </c>
      <c r="D20" s="12">
        <f>F18/5</f>
        <v>424</v>
      </c>
    </row>
    <row r="22" spans="2:6" x14ac:dyDescent="0.3">
      <c r="C22" s="12" t="s">
        <v>129</v>
      </c>
      <c r="D22" s="12"/>
      <c r="E22" s="17">
        <f>SQRT(D20)</f>
        <v>20.591260281974002</v>
      </c>
    </row>
    <row r="24" spans="2:6" ht="15.6" x14ac:dyDescent="0.3">
      <c r="B24" s="2" t="s">
        <v>130</v>
      </c>
    </row>
    <row r="25" spans="2:6" ht="15.6" x14ac:dyDescent="0.3">
      <c r="B25" s="3"/>
    </row>
    <row r="26" spans="2:6" ht="15.6" x14ac:dyDescent="0.3">
      <c r="B26" s="4" t="s">
        <v>131</v>
      </c>
    </row>
    <row r="27" spans="2:6" ht="15.6" x14ac:dyDescent="0.3">
      <c r="B27" s="3" t="s">
        <v>133</v>
      </c>
    </row>
    <row r="28" spans="2:6" ht="15.6" x14ac:dyDescent="0.3">
      <c r="B28" s="3"/>
    </row>
    <row r="29" spans="2:6" ht="15.6" x14ac:dyDescent="0.3">
      <c r="B29" s="4" t="s">
        <v>132</v>
      </c>
    </row>
    <row r="30" spans="2:6" ht="15.6" x14ac:dyDescent="0.3">
      <c r="B30" s="3" t="s">
        <v>134</v>
      </c>
    </row>
    <row r="31" spans="2:6" ht="15.6" x14ac:dyDescent="0.3">
      <c r="B31" s="1"/>
    </row>
    <row r="32" spans="2:6" ht="15.6" x14ac:dyDescent="0.3">
      <c r="B32" s="2" t="s">
        <v>19</v>
      </c>
    </row>
    <row r="33" spans="1:2" ht="15.6" x14ac:dyDescent="0.3">
      <c r="B33" s="3"/>
    </row>
    <row r="34" spans="1:2" ht="15.6" x14ac:dyDescent="0.3">
      <c r="A34">
        <v>1</v>
      </c>
      <c r="B34" s="3" t="s">
        <v>135</v>
      </c>
    </row>
    <row r="35" spans="1:2" ht="15.6" x14ac:dyDescent="0.3">
      <c r="B35" s="3"/>
    </row>
    <row r="36" spans="1:2" ht="15.6" x14ac:dyDescent="0.3">
      <c r="A36">
        <v>2</v>
      </c>
      <c r="B36" s="3" t="s">
        <v>136</v>
      </c>
    </row>
    <row r="37" spans="1:2" ht="15.6" x14ac:dyDescent="0.3">
      <c r="B37" s="3"/>
    </row>
    <row r="38" spans="1:2" ht="15.6" x14ac:dyDescent="0.3">
      <c r="A38">
        <v>3</v>
      </c>
      <c r="B38" s="3" t="s">
        <v>137</v>
      </c>
    </row>
    <row r="39" spans="1:2" ht="15.6" x14ac:dyDescent="0.3">
      <c r="B39" s="1"/>
    </row>
    <row r="40" spans="1:2" ht="15.6" x14ac:dyDescent="0.3">
      <c r="B40" s="1"/>
    </row>
    <row r="41" spans="1:2" ht="15.6" x14ac:dyDescent="0.3">
      <c r="B41" s="2" t="s">
        <v>48</v>
      </c>
    </row>
    <row r="42" spans="1:2" ht="15.6" x14ac:dyDescent="0.3">
      <c r="B42" s="1"/>
    </row>
    <row r="43" spans="1:2" ht="15.6" x14ac:dyDescent="0.3">
      <c r="B43" s="1" t="s">
        <v>138</v>
      </c>
    </row>
  </sheetData>
  <mergeCells count="7">
    <mergeCell ref="B18:E18"/>
    <mergeCell ref="E10:F10"/>
    <mergeCell ref="E11:F11"/>
    <mergeCell ref="E12:F12"/>
    <mergeCell ref="E13:F13"/>
    <mergeCell ref="E14:F14"/>
    <mergeCell ref="E15:F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A6CA-1EA3-40DF-8252-7DCF93B13DA2}">
  <dimension ref="A1:M54"/>
  <sheetViews>
    <sheetView showGridLines="0" tabSelected="1" workbookViewId="0">
      <selection activeCell="O6" sqref="O6"/>
    </sheetView>
  </sheetViews>
  <sheetFormatPr defaultRowHeight="14.4" x14ac:dyDescent="0.3"/>
  <cols>
    <col min="1" max="1" width="13.33203125" bestFit="1" customWidth="1"/>
  </cols>
  <sheetData>
    <row r="1" spans="1:13" ht="15.6" x14ac:dyDescent="0.3">
      <c r="A1" s="12" t="s">
        <v>141</v>
      </c>
      <c r="B1" s="6" t="s">
        <v>144</v>
      </c>
    </row>
    <row r="2" spans="1:13" ht="15.6" x14ac:dyDescent="0.3">
      <c r="B2" s="6" t="s">
        <v>143</v>
      </c>
    </row>
    <row r="3" spans="1:13" ht="15.6" x14ac:dyDescent="0.3">
      <c r="B3" s="6" t="s">
        <v>142</v>
      </c>
    </row>
    <row r="5" spans="1:13" x14ac:dyDescent="0.3">
      <c r="A5" t="s">
        <v>12</v>
      </c>
    </row>
    <row r="6" spans="1:13" ht="15.6" x14ac:dyDescent="0.3">
      <c r="B6" s="6" t="s">
        <v>145</v>
      </c>
      <c r="D6">
        <v>15</v>
      </c>
      <c r="E6">
        <v>18</v>
      </c>
      <c r="F6">
        <v>20</v>
      </c>
      <c r="G6">
        <v>22</v>
      </c>
      <c r="H6">
        <v>25</v>
      </c>
      <c r="I6">
        <v>17</v>
      </c>
      <c r="J6">
        <v>19</v>
      </c>
      <c r="K6">
        <v>21</v>
      </c>
    </row>
    <row r="8" spans="1:13" x14ac:dyDescent="0.3">
      <c r="B8" t="s">
        <v>146</v>
      </c>
    </row>
    <row r="10" spans="1:13" x14ac:dyDescent="0.3">
      <c r="C10" s="12" t="s">
        <v>147</v>
      </c>
      <c r="D10">
        <f>AVERAGE(D6:K6)</f>
        <v>19.625</v>
      </c>
    </row>
    <row r="12" spans="1:13" x14ac:dyDescent="0.3">
      <c r="C12" s="12" t="s">
        <v>148</v>
      </c>
    </row>
    <row r="13" spans="1:13" x14ac:dyDescent="0.3">
      <c r="D13" t="s">
        <v>149</v>
      </c>
      <c r="F13" cm="1">
        <f t="array" ref="F13:M13">_xlfn._xlws.SORT(D6:K6,1,1,TRUE)</f>
        <v>15</v>
      </c>
      <c r="G13">
        <v>17</v>
      </c>
      <c r="H13">
        <v>18</v>
      </c>
      <c r="I13">
        <v>19</v>
      </c>
      <c r="J13">
        <v>20</v>
      </c>
      <c r="K13">
        <v>21</v>
      </c>
      <c r="L13">
        <v>22</v>
      </c>
      <c r="M13">
        <v>25</v>
      </c>
    </row>
    <row r="15" spans="1:13" x14ac:dyDescent="0.3">
      <c r="D15" t="s">
        <v>150</v>
      </c>
      <c r="E15">
        <f>AVERAGE(I13:J13)</f>
        <v>19.5</v>
      </c>
    </row>
    <row r="17" spans="3:8" x14ac:dyDescent="0.3">
      <c r="C17" s="12" t="s">
        <v>151</v>
      </c>
    </row>
    <row r="18" spans="3:8" x14ac:dyDescent="0.3">
      <c r="D18" t="s">
        <v>152</v>
      </c>
    </row>
    <row r="21" spans="3:8" x14ac:dyDescent="0.3">
      <c r="C21" s="12" t="s">
        <v>153</v>
      </c>
    </row>
    <row r="22" spans="3:8" x14ac:dyDescent="0.3">
      <c r="D22" t="s">
        <v>154</v>
      </c>
      <c r="E22">
        <f>MAX(D6:K6)</f>
        <v>25</v>
      </c>
    </row>
    <row r="23" spans="3:8" x14ac:dyDescent="0.3">
      <c r="D23" t="s">
        <v>155</v>
      </c>
      <c r="E23">
        <f>MIN(D6:K6)</f>
        <v>15</v>
      </c>
    </row>
    <row r="25" spans="3:8" x14ac:dyDescent="0.3">
      <c r="D25" t="s">
        <v>81</v>
      </c>
      <c r="E25">
        <f>E22-E23</f>
        <v>10</v>
      </c>
    </row>
    <row r="28" spans="3:8" x14ac:dyDescent="0.3">
      <c r="C28" s="12" t="s">
        <v>156</v>
      </c>
    </row>
    <row r="30" spans="3:8" x14ac:dyDescent="0.3">
      <c r="D30" t="s">
        <v>157</v>
      </c>
      <c r="H30">
        <f>_xlfn.STDEV.P(_xlfn.ANCHORARRAY(F13))</f>
        <v>2.912795049432761</v>
      </c>
    </row>
    <row r="33" spans="3:3" ht="15.6" x14ac:dyDescent="0.3">
      <c r="C33" s="2" t="s">
        <v>158</v>
      </c>
    </row>
    <row r="34" spans="3:3" ht="15.6" x14ac:dyDescent="0.3">
      <c r="C34" s="3"/>
    </row>
    <row r="35" spans="3:3" ht="15.6" x14ac:dyDescent="0.3">
      <c r="C35" s="4" t="s">
        <v>159</v>
      </c>
    </row>
    <row r="36" spans="3:3" ht="15.6" x14ac:dyDescent="0.3">
      <c r="C36" s="3" t="s">
        <v>165</v>
      </c>
    </row>
    <row r="37" spans="3:3" ht="15.6" x14ac:dyDescent="0.3">
      <c r="C37" s="3"/>
    </row>
    <row r="38" spans="3:3" ht="15.6" x14ac:dyDescent="0.3">
      <c r="C38" s="4" t="s">
        <v>160</v>
      </c>
    </row>
    <row r="39" spans="3:3" ht="15.6" x14ac:dyDescent="0.3">
      <c r="C39" s="3" t="s">
        <v>166</v>
      </c>
    </row>
    <row r="40" spans="3:3" ht="15.6" x14ac:dyDescent="0.3">
      <c r="C40" s="3"/>
    </row>
    <row r="41" spans="3:3" ht="15.6" x14ac:dyDescent="0.3">
      <c r="C41" s="4" t="s">
        <v>161</v>
      </c>
    </row>
    <row r="42" spans="3:3" ht="15.6" x14ac:dyDescent="0.3">
      <c r="C42" s="3" t="s">
        <v>162</v>
      </c>
    </row>
    <row r="43" spans="3:3" ht="15.6" x14ac:dyDescent="0.3">
      <c r="C43" s="3"/>
    </row>
    <row r="44" spans="3:3" ht="15.6" x14ac:dyDescent="0.3">
      <c r="C44" s="4" t="s">
        <v>163</v>
      </c>
    </row>
    <row r="45" spans="3:3" ht="15.6" x14ac:dyDescent="0.3">
      <c r="C45" s="3" t="s">
        <v>167</v>
      </c>
    </row>
    <row r="46" spans="3:3" ht="15.6" x14ac:dyDescent="0.3">
      <c r="C46" s="3"/>
    </row>
    <row r="47" spans="3:3" ht="15.6" x14ac:dyDescent="0.3">
      <c r="C47" s="4" t="s">
        <v>164</v>
      </c>
    </row>
    <row r="48" spans="3:3" ht="15.6" x14ac:dyDescent="0.3">
      <c r="C48" s="3" t="s">
        <v>168</v>
      </c>
    </row>
    <row r="49" spans="3:3" ht="15.6" x14ac:dyDescent="0.3">
      <c r="C49" s="1"/>
    </row>
    <row r="50" spans="3:3" ht="15.6" x14ac:dyDescent="0.3">
      <c r="C50" s="1"/>
    </row>
    <row r="51" spans="3:3" ht="15.6" x14ac:dyDescent="0.3">
      <c r="C51" s="1"/>
    </row>
    <row r="52" spans="3:3" ht="15.6" x14ac:dyDescent="0.3">
      <c r="C52" s="2" t="s">
        <v>170</v>
      </c>
    </row>
    <row r="53" spans="3:3" ht="15.6" x14ac:dyDescent="0.3">
      <c r="C53" s="1"/>
    </row>
    <row r="54" spans="3:3" ht="15.6" x14ac:dyDescent="0.3">
      <c r="C54" s="1" t="s">
        <v>169</v>
      </c>
    </row>
  </sheetData>
  <sortState xmlns:xlrd2="http://schemas.microsoft.com/office/spreadsheetml/2017/richdata2" ref="F13:M13">
    <sortCondition ref="F1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0348-C4CF-4965-B33B-91D4FB1258D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Solution 1</vt:lpstr>
      <vt:lpstr>Solution 2</vt:lpstr>
      <vt:lpstr>Solution 3</vt:lpstr>
      <vt:lpstr>Solution 4</vt:lpstr>
      <vt:lpstr>Solution 5</vt:lpstr>
      <vt:lpstr>Solution 6</vt:lpstr>
      <vt:lpstr>Solution 7</vt:lpstr>
      <vt:lpstr>Solution 8</vt:lpstr>
      <vt:lpstr>Solution 9</vt:lpstr>
      <vt:lpstr>Solution 10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Prabhakar .</dc:creator>
  <cp:lastModifiedBy>Prabhakar .</cp:lastModifiedBy>
  <dcterms:created xsi:type="dcterms:W3CDTF">2025-12-26T16:07:30Z</dcterms:created>
  <dcterms:modified xsi:type="dcterms:W3CDTF">2025-12-27T07:03:31Z</dcterms:modified>
</cp:coreProperties>
</file>
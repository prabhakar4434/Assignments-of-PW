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oLiDvLPMqwt0+njjeKdkCohQToMrByO4rDJOzgmDdkE="/>
    </ext>
  </extLst>
</workbook>
</file>

<file path=xl/sharedStrings.xml><?xml version="1.0" encoding="utf-8"?>
<sst xmlns="http://schemas.openxmlformats.org/spreadsheetml/2006/main" count="102" uniqueCount="75">
  <si>
    <t>Question 1: Write a formula to check if the marks in cell B2  are greater than or equal to 40. If yes, return "Pass", Otherwise "Fail" .</t>
  </si>
  <si>
    <t>Student Name</t>
  </si>
  <si>
    <t>Marks</t>
  </si>
  <si>
    <t>Solution:</t>
  </si>
  <si>
    <t xml:space="preserve">Riya </t>
  </si>
  <si>
    <t>Siya</t>
  </si>
  <si>
    <t>Raju</t>
  </si>
  <si>
    <t>Rahul</t>
  </si>
  <si>
    <t>Ram</t>
  </si>
  <si>
    <t>Formula Used: =IF($B4&gt;=40,"Pass","Fail")</t>
  </si>
  <si>
    <t xml:space="preserve">Question 2: A company gives a bonus  if sales are above 40,000 and attendance is greater than or equal to 90%. </t>
  </si>
  <si>
    <t>Write a formula to calculate whether the employee will get a bonus or not .</t>
  </si>
  <si>
    <t>Employee</t>
  </si>
  <si>
    <t>Sales</t>
  </si>
  <si>
    <t>Attendance</t>
  </si>
  <si>
    <t xml:space="preserve">Bonus </t>
  </si>
  <si>
    <t>Arjun</t>
  </si>
  <si>
    <t>Simran</t>
  </si>
  <si>
    <t>Rohit</t>
  </si>
  <si>
    <t>Anjali</t>
  </si>
  <si>
    <t>Formula Used: =IF(AND($B16&gt;40000,$C16&gt;=90),"Will get Bonus","Will not get bonus")</t>
  </si>
  <si>
    <t>Question 3: Write a nested IF formula:</t>
  </si>
  <si>
    <t>If marks in  B2 are ≥ 90 → "A" , ≥ 75 → "B", ≥ 50 →"C" , otherwise "Fail".</t>
  </si>
  <si>
    <t>Solution</t>
  </si>
  <si>
    <t>Grade</t>
  </si>
  <si>
    <t>Raj</t>
  </si>
  <si>
    <t xml:space="preserve">Neha </t>
  </si>
  <si>
    <t>Vivek</t>
  </si>
  <si>
    <t>Rani</t>
  </si>
  <si>
    <t>Sneha</t>
  </si>
  <si>
    <t>Question 4: Find the Department of Employee ID = E103. Also explain which LOOKUP function is used and why?</t>
  </si>
  <si>
    <t>Employee ID</t>
  </si>
  <si>
    <t>Name</t>
  </si>
  <si>
    <t>Department</t>
  </si>
  <si>
    <t>E101</t>
  </si>
  <si>
    <t>IT</t>
  </si>
  <si>
    <t>E102</t>
  </si>
  <si>
    <t>Riya</t>
  </si>
  <si>
    <t>HR</t>
  </si>
  <si>
    <t>I used vlookup function as available data is in verticle format and</t>
  </si>
  <si>
    <t>E103</t>
  </si>
  <si>
    <t>Roshni</t>
  </si>
  <si>
    <t>Finance</t>
  </si>
  <si>
    <t>The Employee ID (lookup value) is in the first column of the table.</t>
  </si>
  <si>
    <t>E104</t>
  </si>
  <si>
    <t>Sejal</t>
  </si>
  <si>
    <t>Question 5: A company has set the following commission structure for its sales team</t>
  </si>
  <si>
    <t>Sales Amount</t>
  </si>
  <si>
    <t>Commission rate</t>
  </si>
  <si>
    <t>If a salesperson achieves sales of ₹45,000, use the VLOOKUP function to determine the commission rate applicable.</t>
  </si>
  <si>
    <t>Solution :</t>
  </si>
  <si>
    <t>Sales Amount:</t>
  </si>
  <si>
    <t>Rate</t>
  </si>
  <si>
    <t>Formula Used: =VLOOKUP(C56,A48:B52,2,TRUE)</t>
  </si>
  <si>
    <t>Question 6: The HR department maintains the following leave records of employees:onus or not</t>
  </si>
  <si>
    <t>Employees Name</t>
  </si>
  <si>
    <t xml:space="preserve">Leaves taken </t>
  </si>
  <si>
    <t>Leaves allowed</t>
  </si>
  <si>
    <t>Alex</t>
  </si>
  <si>
    <t>Bob</t>
  </si>
  <si>
    <t>Anna</t>
  </si>
  <si>
    <t>Write an IF function to check whether an employee has Exceeded their allowed leave balance. If Leaves Taken &gt; Allowed Leaves, display "Exceeded". Otherwise, display "OK".</t>
  </si>
  <si>
    <t>Status</t>
  </si>
  <si>
    <t>Question 7: Find the salary of EmpID = E105 using INDEX-MATCH Function.</t>
  </si>
  <si>
    <t>Salary</t>
  </si>
  <si>
    <t>E105</t>
  </si>
  <si>
    <t>E106</t>
  </si>
  <si>
    <t xml:space="preserve">Solution: </t>
  </si>
  <si>
    <t>EmpID</t>
  </si>
  <si>
    <t>Formula Used: =INDEX(B84:B87, MATCH(C90,A84:A87,0))</t>
  </si>
  <si>
    <t>Question no.8 Use the XLOOKUP function to find the Department of the employee with Emp ID = E303.</t>
  </si>
  <si>
    <t>E303</t>
  </si>
  <si>
    <t>E301</t>
  </si>
  <si>
    <t>Emp ID</t>
  </si>
  <si>
    <t>Formula used: =XLOOKUP(C106,A99:A103,B99:B103,0,0,1)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</si>
</sst>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3" numFmtId="9" xfId="0" applyAlignment="1" applyBorder="1" applyFont="1" applyNumberFormat="1">
      <alignment horizontal="center"/>
    </xf>
    <xf borderId="0" fillId="0" fontId="3" numFmtId="0" xfId="0" applyAlignment="1" applyFont="1">
      <alignment horizontal="right"/>
    </xf>
    <xf borderId="0" fillId="0" fontId="3" numFmtId="10" xfId="0" applyFont="1" applyNumberFormat="1"/>
    <xf borderId="1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4.86"/>
    <col customWidth="1" min="3" max="4" width="11.57"/>
    <col customWidth="1" min="5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D3" s="3" t="s">
        <v>3</v>
      </c>
    </row>
    <row r="4" ht="14.25" customHeight="1">
      <c r="A4" s="4" t="s">
        <v>4</v>
      </c>
      <c r="B4" s="4">
        <v>45.0</v>
      </c>
      <c r="D4" s="3" t="str">
        <f t="shared" ref="D4:D8" si="1">IF($B4&gt;=40,"Pass","Fail")</f>
        <v>Pass</v>
      </c>
    </row>
    <row r="5" ht="14.25" customHeight="1">
      <c r="A5" s="4" t="s">
        <v>5</v>
      </c>
      <c r="B5" s="4">
        <v>72.0</v>
      </c>
      <c r="D5" s="3" t="str">
        <f t="shared" si="1"/>
        <v>Pass</v>
      </c>
    </row>
    <row r="6" ht="14.25" customHeight="1">
      <c r="A6" s="4" t="s">
        <v>6</v>
      </c>
      <c r="B6" s="4">
        <v>55.0</v>
      </c>
      <c r="D6" s="3" t="str">
        <f t="shared" si="1"/>
        <v>Pass</v>
      </c>
    </row>
    <row r="7" ht="14.25" customHeight="1">
      <c r="A7" s="4" t="s">
        <v>7</v>
      </c>
      <c r="B7" s="4">
        <v>80.0</v>
      </c>
      <c r="D7" s="3" t="str">
        <f t="shared" si="1"/>
        <v>Pass</v>
      </c>
    </row>
    <row r="8" ht="14.25" customHeight="1">
      <c r="A8" s="4" t="s">
        <v>8</v>
      </c>
      <c r="B8" s="4">
        <v>30.0</v>
      </c>
      <c r="D8" s="3" t="str">
        <f t="shared" si="1"/>
        <v>Fail</v>
      </c>
    </row>
    <row r="9" ht="14.25" customHeight="1"/>
    <row r="10" ht="14.25" customHeight="1">
      <c r="B10" s="5" t="s">
        <v>9</v>
      </c>
    </row>
    <row r="11" ht="14.25" customHeight="1"/>
    <row r="12" ht="14.25" customHeight="1">
      <c r="A12" s="1" t="s">
        <v>10</v>
      </c>
    </row>
    <row r="13" ht="14.25" customHeight="1">
      <c r="A13" s="1" t="s">
        <v>11</v>
      </c>
    </row>
    <row r="14" ht="14.25" customHeight="1"/>
    <row r="15" ht="14.25" customHeight="1">
      <c r="A15" s="2" t="s">
        <v>12</v>
      </c>
      <c r="B15" s="2" t="s">
        <v>13</v>
      </c>
      <c r="C15" s="2" t="s">
        <v>14</v>
      </c>
      <c r="E15" s="6" t="s">
        <v>3</v>
      </c>
      <c r="F15" s="6" t="s">
        <v>15</v>
      </c>
    </row>
    <row r="16" ht="14.25" customHeight="1">
      <c r="A16" s="4" t="s">
        <v>16</v>
      </c>
      <c r="B16" s="4">
        <v>55000.0</v>
      </c>
      <c r="C16" s="4">
        <v>95.0</v>
      </c>
      <c r="F16" s="5" t="str">
        <f t="shared" ref="F16:F19" si="2">IF(AND($B16&gt;40000,$C16&gt;=90),"Will get Bonus","Will not get bonus")</f>
        <v>Will get Bonus</v>
      </c>
    </row>
    <row r="17" ht="14.25" customHeight="1">
      <c r="A17" s="4" t="s">
        <v>17</v>
      </c>
      <c r="B17" s="4">
        <v>65000.0</v>
      </c>
      <c r="C17" s="4">
        <v>85.0</v>
      </c>
      <c r="F17" s="5" t="str">
        <f t="shared" si="2"/>
        <v>Will not get bonus</v>
      </c>
    </row>
    <row r="18" ht="14.25" customHeight="1">
      <c r="A18" s="4" t="s">
        <v>18</v>
      </c>
      <c r="B18" s="4">
        <v>30000.0</v>
      </c>
      <c r="C18" s="4">
        <v>90.0</v>
      </c>
      <c r="F18" s="5" t="str">
        <f t="shared" si="2"/>
        <v>Will not get bonus</v>
      </c>
    </row>
    <row r="19" ht="14.25" customHeight="1">
      <c r="A19" s="4" t="s">
        <v>19</v>
      </c>
      <c r="B19" s="4">
        <v>25000.0</v>
      </c>
      <c r="C19" s="4">
        <v>65.0</v>
      </c>
      <c r="F19" s="5" t="str">
        <f t="shared" si="2"/>
        <v>Will not get bonus</v>
      </c>
    </row>
    <row r="20" ht="14.25" customHeight="1"/>
    <row r="21" ht="14.25" customHeight="1"/>
    <row r="22" ht="14.25" customHeight="1">
      <c r="B22" s="5" t="s">
        <v>20</v>
      </c>
    </row>
    <row r="23" ht="14.25" customHeight="1"/>
    <row r="24" ht="14.25" customHeight="1"/>
    <row r="25" ht="14.25" customHeight="1">
      <c r="A25" s="7" t="s">
        <v>21</v>
      </c>
    </row>
    <row r="26" ht="14.25" customHeight="1">
      <c r="A26" s="7" t="s">
        <v>22</v>
      </c>
    </row>
    <row r="27" ht="14.25" customHeight="1"/>
    <row r="28" ht="14.25" customHeight="1">
      <c r="A28" s="2" t="s">
        <v>1</v>
      </c>
      <c r="B28" s="2" t="s">
        <v>2</v>
      </c>
      <c r="D28" s="3" t="s">
        <v>23</v>
      </c>
      <c r="E28" s="2" t="s">
        <v>24</v>
      </c>
    </row>
    <row r="29" ht="14.25" customHeight="1">
      <c r="A29" s="4" t="s">
        <v>25</v>
      </c>
      <c r="B29" s="4">
        <v>85.0</v>
      </c>
      <c r="E29" s="4" t="str">
        <f t="shared" ref="E29:E33" si="3">IF($B29&gt;=90,"A",IF($B29&gt;=75,"B",IF($B29&gt;=50,"C","Fail")))</f>
        <v>B</v>
      </c>
    </row>
    <row r="30" ht="14.25" customHeight="1">
      <c r="A30" s="4" t="s">
        <v>26</v>
      </c>
      <c r="B30" s="4">
        <v>96.0</v>
      </c>
      <c r="E30" s="4" t="str">
        <f t="shared" si="3"/>
        <v>A</v>
      </c>
    </row>
    <row r="31" ht="14.25" customHeight="1">
      <c r="A31" s="4" t="s">
        <v>27</v>
      </c>
      <c r="B31" s="4">
        <v>57.0</v>
      </c>
      <c r="E31" s="4" t="str">
        <f t="shared" si="3"/>
        <v>C</v>
      </c>
    </row>
    <row r="32" ht="14.25" customHeight="1">
      <c r="A32" s="4" t="s">
        <v>28</v>
      </c>
      <c r="B32" s="4">
        <v>92.0</v>
      </c>
      <c r="E32" s="4" t="str">
        <f t="shared" si="3"/>
        <v>A</v>
      </c>
    </row>
    <row r="33" ht="14.25" customHeight="1">
      <c r="A33" s="4" t="s">
        <v>29</v>
      </c>
      <c r="B33" s="4">
        <v>75.0</v>
      </c>
      <c r="E33" s="4" t="str">
        <f t="shared" si="3"/>
        <v>B</v>
      </c>
    </row>
    <row r="34" ht="14.25" customHeight="1"/>
    <row r="35" ht="14.25" customHeight="1"/>
    <row r="36" ht="14.25" customHeight="1">
      <c r="A36" s="7" t="s">
        <v>30</v>
      </c>
    </row>
    <row r="37" ht="14.25" customHeight="1"/>
    <row r="38" ht="14.25" customHeight="1">
      <c r="A38" s="2" t="s">
        <v>31</v>
      </c>
      <c r="B38" s="2" t="s">
        <v>32</v>
      </c>
      <c r="C38" s="2" t="s">
        <v>33</v>
      </c>
      <c r="F38" s="8" t="s">
        <v>3</v>
      </c>
      <c r="G38" s="3" t="str">
        <f>VLOOKUP(A41,A38:C42,3,TRUE)</f>
        <v>Finance</v>
      </c>
    </row>
    <row r="39" ht="14.25" customHeight="1">
      <c r="A39" s="4" t="s">
        <v>34</v>
      </c>
      <c r="B39" s="4" t="s">
        <v>6</v>
      </c>
      <c r="C39" s="4" t="s">
        <v>35</v>
      </c>
    </row>
    <row r="40" ht="14.25" customHeight="1">
      <c r="A40" s="4" t="s">
        <v>36</v>
      </c>
      <c r="B40" s="4" t="s">
        <v>37</v>
      </c>
      <c r="C40" s="4" t="s">
        <v>38</v>
      </c>
      <c r="G40" s="3" t="s">
        <v>39</v>
      </c>
    </row>
    <row r="41" ht="14.25" customHeight="1">
      <c r="A41" s="4" t="s">
        <v>40</v>
      </c>
      <c r="B41" s="4" t="s">
        <v>41</v>
      </c>
      <c r="C41" s="4" t="s">
        <v>42</v>
      </c>
      <c r="G41" s="3" t="s">
        <v>43</v>
      </c>
    </row>
    <row r="42" ht="14.25" customHeight="1">
      <c r="A42" s="4" t="s">
        <v>44</v>
      </c>
      <c r="B42" s="4" t="s">
        <v>45</v>
      </c>
      <c r="C42" s="4" t="s">
        <v>13</v>
      </c>
    </row>
    <row r="43" ht="14.25" customHeight="1"/>
    <row r="44" ht="14.25" customHeight="1"/>
    <row r="45" ht="14.25" customHeight="1"/>
    <row r="46" ht="14.25" customHeight="1">
      <c r="A46" s="7" t="s">
        <v>46</v>
      </c>
    </row>
    <row r="47" ht="14.25" customHeight="1"/>
    <row r="48" ht="14.25" customHeight="1">
      <c r="A48" s="2" t="s">
        <v>47</v>
      </c>
      <c r="B48" s="2" t="s">
        <v>48</v>
      </c>
    </row>
    <row r="49" ht="14.25" customHeight="1">
      <c r="A49" s="4">
        <v>0.0</v>
      </c>
      <c r="B49" s="9">
        <v>0.05</v>
      </c>
    </row>
    <row r="50" ht="14.25" customHeight="1">
      <c r="A50" s="4">
        <v>20000.0</v>
      </c>
      <c r="B50" s="9">
        <v>0.1</v>
      </c>
    </row>
    <row r="51" ht="14.25" customHeight="1">
      <c r="A51" s="4">
        <v>50000.0</v>
      </c>
      <c r="B51" s="9">
        <v>0.15</v>
      </c>
    </row>
    <row r="52" ht="14.25" customHeight="1">
      <c r="A52" s="4">
        <v>80000.0</v>
      </c>
      <c r="B52" s="9">
        <v>0.2</v>
      </c>
    </row>
    <row r="53" ht="14.25" customHeight="1"/>
    <row r="54" ht="14.25" customHeight="1">
      <c r="A54" s="7" t="s">
        <v>49</v>
      </c>
    </row>
    <row r="55" ht="14.25" customHeight="1"/>
    <row r="56" ht="14.25" customHeight="1">
      <c r="A56" s="3" t="s">
        <v>50</v>
      </c>
      <c r="B56" s="10" t="s">
        <v>51</v>
      </c>
      <c r="C56" s="3">
        <v>45000.0</v>
      </c>
    </row>
    <row r="57" ht="14.25" customHeight="1"/>
    <row r="58" ht="14.25" customHeight="1">
      <c r="B58" s="10" t="s">
        <v>52</v>
      </c>
      <c r="C58" s="11">
        <f>VLOOKUP(C56,A48:B52,2,TRUE)</f>
        <v>0.1</v>
      </c>
    </row>
    <row r="59" ht="14.25" customHeight="1"/>
    <row r="60" ht="14.25" customHeight="1">
      <c r="B60" s="5" t="s">
        <v>53</v>
      </c>
    </row>
    <row r="61" ht="14.25" customHeight="1"/>
    <row r="62" ht="14.25" customHeight="1"/>
    <row r="63" ht="14.25" customHeight="1"/>
    <row r="64" ht="14.25" customHeight="1">
      <c r="A64" s="7" t="s">
        <v>54</v>
      </c>
    </row>
    <row r="65" ht="14.25" customHeight="1"/>
    <row r="66" ht="14.25" customHeight="1">
      <c r="A66" s="12" t="s">
        <v>55</v>
      </c>
      <c r="B66" s="12" t="s">
        <v>56</v>
      </c>
      <c r="C66" s="12" t="s">
        <v>57</v>
      </c>
    </row>
    <row r="67" ht="14.25" customHeight="1">
      <c r="A67" s="4" t="s">
        <v>58</v>
      </c>
      <c r="B67" s="4">
        <v>10.0</v>
      </c>
      <c r="C67" s="4">
        <v>12.0</v>
      </c>
    </row>
    <row r="68" ht="14.25" customHeight="1">
      <c r="A68" s="4" t="s">
        <v>59</v>
      </c>
      <c r="B68" s="4">
        <v>10.0</v>
      </c>
      <c r="C68" s="4">
        <v>15.0</v>
      </c>
    </row>
    <row r="69" ht="14.25" customHeight="1">
      <c r="A69" s="4" t="s">
        <v>60</v>
      </c>
      <c r="B69" s="4">
        <v>8.0</v>
      </c>
      <c r="C69" s="4">
        <v>12.0</v>
      </c>
    </row>
    <row r="70" ht="14.25" customHeight="1"/>
    <row r="71" ht="14.25" customHeight="1">
      <c r="A71" s="7" t="s">
        <v>61</v>
      </c>
    </row>
    <row r="72" ht="14.25" customHeight="1"/>
    <row r="73" ht="14.25" customHeight="1"/>
    <row r="74" ht="14.25" customHeight="1">
      <c r="A74" s="3" t="s">
        <v>3</v>
      </c>
      <c r="B74" s="12" t="s">
        <v>55</v>
      </c>
      <c r="C74" s="12" t="s">
        <v>56</v>
      </c>
      <c r="D74" s="12" t="s">
        <v>57</v>
      </c>
      <c r="E74" s="13" t="s">
        <v>62</v>
      </c>
    </row>
    <row r="75" ht="14.25" customHeight="1">
      <c r="B75" s="4" t="s">
        <v>58</v>
      </c>
      <c r="C75" s="4">
        <v>10.0</v>
      </c>
      <c r="D75" s="4">
        <v>12.0</v>
      </c>
      <c r="E75" s="5" t="str">
        <f t="shared" ref="E75:E77" si="4">IF(C75&gt;D75,"Exceeded","Ok")</f>
        <v>Ok</v>
      </c>
    </row>
    <row r="76" ht="14.25" customHeight="1">
      <c r="B76" s="4" t="s">
        <v>59</v>
      </c>
      <c r="C76" s="4">
        <v>10.0</v>
      </c>
      <c r="D76" s="4">
        <v>15.0</v>
      </c>
      <c r="E76" s="5" t="str">
        <f t="shared" si="4"/>
        <v>Ok</v>
      </c>
    </row>
    <row r="77" ht="14.25" customHeight="1">
      <c r="B77" s="4" t="s">
        <v>60</v>
      </c>
      <c r="C77" s="4">
        <v>8.0</v>
      </c>
      <c r="D77" s="4">
        <v>12.0</v>
      </c>
      <c r="E77" s="5" t="str">
        <f t="shared" si="4"/>
        <v>Ok</v>
      </c>
    </row>
    <row r="78" ht="14.25" customHeight="1"/>
    <row r="79" ht="14.25" customHeight="1"/>
    <row r="80" ht="14.25" customHeight="1"/>
    <row r="81" ht="14.25" customHeight="1">
      <c r="A81" s="7" t="s">
        <v>63</v>
      </c>
    </row>
    <row r="82" ht="14.25" customHeight="1"/>
    <row r="83" ht="14.25" customHeight="1">
      <c r="A83" s="2" t="s">
        <v>31</v>
      </c>
      <c r="B83" s="2" t="s">
        <v>64</v>
      </c>
    </row>
    <row r="84" ht="14.25" customHeight="1">
      <c r="A84" s="4" t="s">
        <v>44</v>
      </c>
      <c r="B84" s="4">
        <v>55000.0</v>
      </c>
    </row>
    <row r="85" ht="14.25" customHeight="1">
      <c r="A85" s="4" t="s">
        <v>65</v>
      </c>
      <c r="B85" s="4">
        <v>72000.0</v>
      </c>
    </row>
    <row r="86" ht="14.25" customHeight="1">
      <c r="A86" s="4" t="s">
        <v>66</v>
      </c>
      <c r="B86" s="4">
        <v>62000.0</v>
      </c>
    </row>
    <row r="87" ht="14.25" customHeight="1">
      <c r="A87" s="4" t="s">
        <v>36</v>
      </c>
      <c r="B87" s="4">
        <v>41000.0</v>
      </c>
    </row>
    <row r="88" ht="14.25" customHeight="1"/>
    <row r="89" ht="14.25" customHeight="1"/>
    <row r="90" ht="14.25" customHeight="1">
      <c r="A90" s="5" t="s">
        <v>67</v>
      </c>
      <c r="B90" s="10" t="s">
        <v>68</v>
      </c>
      <c r="C90" s="3" t="s">
        <v>65</v>
      </c>
    </row>
    <row r="91" ht="14.25" customHeight="1"/>
    <row r="92" ht="14.25" customHeight="1">
      <c r="B92" s="3">
        <f t="array" ref="B92">INDEX(B84:B87, MATCH(C90,A84:A87,0))</f>
        <v>72000</v>
      </c>
    </row>
    <row r="93" ht="14.25" customHeight="1"/>
    <row r="94" ht="14.25" customHeight="1">
      <c r="B94" s="5" t="s">
        <v>69</v>
      </c>
    </row>
    <row r="95" ht="14.25" customHeight="1"/>
    <row r="96" ht="14.25" customHeight="1"/>
    <row r="97" ht="14.25" customHeight="1">
      <c r="A97" s="7" t="s">
        <v>70</v>
      </c>
    </row>
    <row r="98" ht="14.25" customHeight="1"/>
    <row r="99" ht="14.25" customHeight="1">
      <c r="A99" s="2" t="s">
        <v>31</v>
      </c>
      <c r="B99" s="2" t="s">
        <v>64</v>
      </c>
    </row>
    <row r="100" ht="14.25" customHeight="1">
      <c r="A100" s="4" t="s">
        <v>34</v>
      </c>
      <c r="B100" s="4" t="s">
        <v>38</v>
      </c>
    </row>
    <row r="101" ht="14.25" customHeight="1">
      <c r="A101" s="4" t="s">
        <v>71</v>
      </c>
      <c r="B101" s="4" t="s">
        <v>35</v>
      </c>
    </row>
    <row r="102" ht="14.25" customHeight="1">
      <c r="A102" s="4" t="s">
        <v>66</v>
      </c>
      <c r="B102" s="4" t="s">
        <v>13</v>
      </c>
    </row>
    <row r="103" ht="14.25" customHeight="1">
      <c r="A103" s="4" t="s">
        <v>72</v>
      </c>
      <c r="B103" s="4" t="s">
        <v>42</v>
      </c>
    </row>
    <row r="104" ht="14.25" customHeight="1"/>
    <row r="105" ht="14.25" customHeight="1"/>
    <row r="106" ht="14.25" customHeight="1">
      <c r="A106" s="5" t="s">
        <v>3</v>
      </c>
      <c r="B106" s="14" t="s">
        <v>73</v>
      </c>
      <c r="C106" s="14" t="s">
        <v>71</v>
      </c>
    </row>
    <row r="107" ht="14.25" customHeight="1"/>
    <row r="108" ht="14.25" customHeight="1">
      <c r="B108" s="3" t="str">
        <f t="array" ref="B108">XLOOKUP(C106,A99:A103,B99:B103,0,0,1)</f>
        <v>IT</v>
      </c>
    </row>
    <row r="109" ht="14.25" customHeight="1"/>
    <row r="110" ht="14.25" customHeight="1">
      <c r="B110" s="14" t="s">
        <v>74</v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F18:H18"/>
    <mergeCell ref="F19:H19"/>
    <mergeCell ref="B22:I22"/>
    <mergeCell ref="B60:G60"/>
    <mergeCell ref="B94:F94"/>
    <mergeCell ref="B110:G110"/>
    <mergeCell ref="A1:K1"/>
    <mergeCell ref="B10:J10"/>
    <mergeCell ref="A12:K12"/>
    <mergeCell ref="A13:K13"/>
    <mergeCell ref="F15:H15"/>
    <mergeCell ref="F16:H16"/>
    <mergeCell ref="F17:H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2025-12-17T15:53:51Z</dcterms:created>
  <dc:creator>prabhakar</dc:creator>
</cp:coreProperties>
</file>
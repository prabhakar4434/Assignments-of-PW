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92" i="1" l="1"/>
  <c r="E76" i="1" l="1"/>
  <c r="E77" i="1"/>
  <c r="E75" i="1"/>
  <c r="C58" i="1"/>
  <c r="G38" i="1"/>
  <c r="E30" i="1"/>
  <c r="E31" i="1"/>
  <c r="E32" i="1"/>
  <c r="E33" i="1"/>
  <c r="E29" i="1"/>
  <c r="F16" i="1"/>
  <c r="D4" i="1"/>
  <c r="F17" i="1"/>
  <c r="F18" i="1"/>
  <c r="F19" i="1"/>
  <c r="D8" i="1"/>
  <c r="D5" i="1"/>
  <c r="D6" i="1"/>
  <c r="D7" i="1"/>
</calcChain>
</file>

<file path=xl/sharedStrings.xml><?xml version="1.0" encoding="utf-8"?>
<sst xmlns="http://schemas.openxmlformats.org/spreadsheetml/2006/main" count="99" uniqueCount="73">
  <si>
    <t>Student Name</t>
  </si>
  <si>
    <t>Marks</t>
  </si>
  <si>
    <t xml:space="preserve">Riya </t>
  </si>
  <si>
    <t>Siya</t>
  </si>
  <si>
    <t>Raju</t>
  </si>
  <si>
    <t>Rahul</t>
  </si>
  <si>
    <t>Ram</t>
  </si>
  <si>
    <t>Solution:</t>
  </si>
  <si>
    <t>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</si>
  <si>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</si>
  <si>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</si>
  <si>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</si>
  <si>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</si>
  <si>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</si>
  <si>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</si>
  <si>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</si>
  <si>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 xml:space="preserve">Bonus </t>
  </si>
  <si>
    <t>Formula Used: =IF($B4&gt;=40,"Pass","Fail")</t>
  </si>
  <si>
    <t>Formula Used: =IF(AND($B16&gt;40000,$C16&gt;=90),"Will get Bonus","Will not get bonus")</t>
  </si>
  <si>
    <t>Raj</t>
  </si>
  <si>
    <t xml:space="preserve">Neha </t>
  </si>
  <si>
    <t>Vivek</t>
  </si>
  <si>
    <t>Rani</t>
  </si>
  <si>
    <t>Sneha</t>
  </si>
  <si>
    <t>If marks in  B2 are ≥ 90 → "A" , ≥ 75 → "B", ≥ 50 →"C" , otherwise "Fail".</t>
  </si>
  <si>
    <t>Grade</t>
  </si>
  <si>
    <t>Solution</t>
  </si>
  <si>
    <t>Employee ID</t>
  </si>
  <si>
    <t>Name</t>
  </si>
  <si>
    <t>Department</t>
  </si>
  <si>
    <t>E101</t>
  </si>
  <si>
    <t>E102</t>
  </si>
  <si>
    <t>E103</t>
  </si>
  <si>
    <t>E104</t>
  </si>
  <si>
    <t>Riya</t>
  </si>
  <si>
    <t>Roshni</t>
  </si>
  <si>
    <t>Sejal</t>
  </si>
  <si>
    <t>IT</t>
  </si>
  <si>
    <t>HR</t>
  </si>
  <si>
    <t>Finance</t>
  </si>
  <si>
    <t>The Employee ID (lookup value) is in the first column of the table.</t>
  </si>
  <si>
    <t>I used vlookup function as available data is in verticle format and</t>
  </si>
  <si>
    <t>Sales Amount</t>
  </si>
  <si>
    <t>Commission rate</t>
  </si>
  <si>
    <t>If a salesperson achieves sales of ₹45,000, use the VLOOKUP function to determine the commission rate applicable.</t>
  </si>
  <si>
    <t>Solution :</t>
  </si>
  <si>
    <t>Sales Amount:</t>
  </si>
  <si>
    <t>Formula Used: =VLOOKUP(C56,A48:B52,2,TRUE)</t>
  </si>
  <si>
    <t>Rate</t>
  </si>
  <si>
    <t>Employees Name</t>
  </si>
  <si>
    <t xml:space="preserve">Leaves taken </t>
  </si>
  <si>
    <t>Leaves allowed</t>
  </si>
  <si>
    <t>Alex</t>
  </si>
  <si>
    <t>Bob</t>
  </si>
  <si>
    <t>Anna</t>
  </si>
  <si>
    <t>Write an IF function to check whether an employee has Exceeded their allowed leave balance. If Leaves Taken &gt; Allowed Leaves, display "Exceeded". Otherwise, display "OK".</t>
  </si>
  <si>
    <t>Status</t>
  </si>
  <si>
    <t>Question 1: Write a formula to check if the marks in cell B2  are greater than or equal to 40. If yes, return "Pass", Otherwise "Fail" .</t>
  </si>
  <si>
    <t xml:space="preserve">Question 2: A company gives a bonus  if sales are above 40,000 and attendance is greater than or equal to 90%. </t>
  </si>
  <si>
    <t>Question 3: Write a nested IF formula:</t>
  </si>
  <si>
    <t>Question 4: Find the Department of Employee ID = E103. Also explain which LOOKUP function is used and why?</t>
  </si>
  <si>
    <t>Question 5: A company has set the following commission structure for its sales team</t>
  </si>
  <si>
    <t>Question 6: The HR department maintains the following leave records of employees:onus or not</t>
  </si>
  <si>
    <t>Question 7: Find the salary of EmpID = E105 using INDEX-MATCH Function.</t>
  </si>
  <si>
    <t>Salary</t>
  </si>
  <si>
    <t>E105</t>
  </si>
  <si>
    <t>E106</t>
  </si>
  <si>
    <t xml:space="preserve">Solution: </t>
  </si>
  <si>
    <t>EmpID</t>
  </si>
  <si>
    <t>Formula Used: =INDEX(B84:B87, MATCH(C90,A84:A87,0))</t>
  </si>
  <si>
    <t>Question no.8 Use the XLOOKUP function to find the Department of the employee with Emp ID = E303.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</si>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</sst>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0" fontId="0" fillId="0" borderId="0" xfId="0" applyNumberFormat="1"/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abSelected="1" topLeftCell="A84" workbookViewId="0">
      <selection activeCell="B109" sqref="B109"/>
    </sheetView>
  </sheetViews>
  <sheetFormatPr defaultRowHeight="14.4" x14ac:dyDescent="0.3"/>
  <cols>
    <col min="1" max="1" width="13.6640625" customWidth="1"/>
    <col min="2" max="2" width="14.88671875" customWidth="1"/>
    <col min="3" max="4" width="11.5546875" customWidth="1"/>
  </cols>
  <sheetData>
    <row r="1" spans="1:11" x14ac:dyDescent="0.3">
      <c r="A1" s="15" t="s">
        <v>57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x14ac:dyDescent="0.3">
      <c r="A3" s="2" t="s">
        <v>0</v>
      </c>
      <c r="B3" s="2" t="s">
        <v>1</v>
      </c>
      <c r="D3" t="s">
        <v>7</v>
      </c>
    </row>
    <row r="4" spans="1:11" x14ac:dyDescent="0.3">
      <c r="A4" s="3" t="s">
        <v>2</v>
      </c>
      <c r="B4" s="3">
        <v>45</v>
      </c>
      <c r="D4" t="str">
        <f>IF($B4&gt;=40,"Pass","Fail")</f>
        <v>Pass</v>
      </c>
    </row>
    <row r="5" spans="1:11" x14ac:dyDescent="0.3">
      <c r="A5" s="3" t="s">
        <v>3</v>
      </c>
      <c r="B5" s="3">
        <v>72</v>
      </c>
      <c r="D5" t="str">
        <f t="shared" ref="D5:D7" si="0">IF($B5&gt;=40,"Pass","Fail")</f>
        <v>Pass</v>
      </c>
    </row>
    <row r="6" spans="1:11" x14ac:dyDescent="0.3">
      <c r="A6" s="3" t="s">
        <v>4</v>
      </c>
      <c r="B6" s="3">
        <v>55</v>
      </c>
      <c r="D6" t="str">
        <f t="shared" si="0"/>
        <v>Pass</v>
      </c>
    </row>
    <row r="7" spans="1:11" x14ac:dyDescent="0.3">
      <c r="A7" s="3" t="s">
        <v>5</v>
      </c>
      <c r="B7" s="3">
        <v>80</v>
      </c>
      <c r="D7" t="str">
        <f t="shared" si="0"/>
        <v>Pass</v>
      </c>
    </row>
    <row r="8" spans="1:11" x14ac:dyDescent="0.3">
      <c r="A8" s="3" t="s">
        <v>6</v>
      </c>
      <c r="B8" s="3">
        <v>30</v>
      </c>
      <c r="D8" t="str">
        <f>IF($B8&gt;=40,"Pass","Fail")</f>
        <v>Fail</v>
      </c>
    </row>
    <row r="10" spans="1:11" x14ac:dyDescent="0.3">
      <c r="B10" s="12" t="s">
        <v>17</v>
      </c>
      <c r="C10" s="12"/>
      <c r="D10" s="12"/>
      <c r="E10" s="12"/>
      <c r="F10" s="12"/>
      <c r="G10" s="12"/>
      <c r="H10" s="12"/>
      <c r="I10" s="12"/>
      <c r="J10" s="12"/>
    </row>
    <row r="12" spans="1:11" x14ac:dyDescent="0.3">
      <c r="A12" s="15" t="s">
        <v>58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x14ac:dyDescent="0.3">
      <c r="A13" s="15" t="s">
        <v>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5" spans="1:11" x14ac:dyDescent="0.3">
      <c r="A15" s="2" t="s">
        <v>9</v>
      </c>
      <c r="B15" s="2" t="s">
        <v>10</v>
      </c>
      <c r="C15" s="2" t="s">
        <v>11</v>
      </c>
      <c r="E15" s="5" t="s">
        <v>7</v>
      </c>
      <c r="F15" s="13" t="s">
        <v>16</v>
      </c>
      <c r="G15" s="14"/>
      <c r="H15" s="14"/>
    </row>
    <row r="16" spans="1:11" x14ac:dyDescent="0.3">
      <c r="A16" s="4" t="s">
        <v>12</v>
      </c>
      <c r="B16" s="4">
        <v>55000</v>
      </c>
      <c r="C16" s="4">
        <v>95</v>
      </c>
      <c r="F16" s="12" t="str">
        <f>IF(AND($B16&gt;40000,$C16&gt;=90),"Will get Bonus","Will not get bonus")</f>
        <v>Will get Bonus</v>
      </c>
      <c r="G16" s="12"/>
      <c r="H16" s="12"/>
    </row>
    <row r="17" spans="1:9" x14ac:dyDescent="0.3">
      <c r="A17" s="4" t="s">
        <v>13</v>
      </c>
      <c r="B17" s="4">
        <v>65000</v>
      </c>
      <c r="C17" s="4">
        <v>85</v>
      </c>
      <c r="F17" s="12" t="str">
        <f t="shared" ref="F17:F19" si="1">IF(AND($B17&gt;40000,$C17&gt;=90),"Will get Bonus","Will not get bonus")</f>
        <v>Will not get bonus</v>
      </c>
      <c r="G17" s="12"/>
      <c r="H17" s="12"/>
    </row>
    <row r="18" spans="1:9" x14ac:dyDescent="0.3">
      <c r="A18" s="4" t="s">
        <v>14</v>
      </c>
      <c r="B18" s="4">
        <v>30000</v>
      </c>
      <c r="C18" s="4">
        <v>90</v>
      </c>
      <c r="F18" s="12" t="str">
        <f t="shared" si="1"/>
        <v>Will not get bonus</v>
      </c>
      <c r="G18" s="12"/>
      <c r="H18" s="12"/>
    </row>
    <row r="19" spans="1:9" x14ac:dyDescent="0.3">
      <c r="A19" s="4" t="s">
        <v>15</v>
      </c>
      <c r="B19" s="4">
        <v>25000</v>
      </c>
      <c r="C19" s="4">
        <v>65</v>
      </c>
      <c r="F19" s="12" t="str">
        <f t="shared" si="1"/>
        <v>Will not get bonus</v>
      </c>
      <c r="G19" s="12"/>
      <c r="H19" s="12"/>
    </row>
    <row r="22" spans="1:9" x14ac:dyDescent="0.3">
      <c r="B22" s="12" t="s">
        <v>18</v>
      </c>
      <c r="C22" s="12"/>
      <c r="D22" s="12"/>
      <c r="E22" s="12"/>
      <c r="F22" s="12"/>
      <c r="G22" s="12"/>
      <c r="H22" s="12"/>
      <c r="I22" s="12"/>
    </row>
    <row r="25" spans="1:9" x14ac:dyDescent="0.3">
      <c r="A25" s="16" t="s">
        <v>59</v>
      </c>
    </row>
    <row r="26" spans="1:9" x14ac:dyDescent="0.3">
      <c r="A26" s="16" t="s">
        <v>24</v>
      </c>
    </row>
    <row r="28" spans="1:9" x14ac:dyDescent="0.3">
      <c r="A28" s="2" t="s">
        <v>0</v>
      </c>
      <c r="B28" s="2" t="s">
        <v>1</v>
      </c>
      <c r="D28" t="s">
        <v>26</v>
      </c>
      <c r="E28" s="2" t="s">
        <v>25</v>
      </c>
    </row>
    <row r="29" spans="1:9" x14ac:dyDescent="0.3">
      <c r="A29" s="4" t="s">
        <v>19</v>
      </c>
      <c r="B29" s="4">
        <v>85</v>
      </c>
      <c r="E29" s="4" t="str">
        <f>IF($B29&gt;=90,"A",IF($B29&gt;=75,"B",IF($B29&gt;=50,"C","Fail")))</f>
        <v>B</v>
      </c>
    </row>
    <row r="30" spans="1:9" x14ac:dyDescent="0.3">
      <c r="A30" s="4" t="s">
        <v>20</v>
      </c>
      <c r="B30" s="4">
        <v>96</v>
      </c>
      <c r="E30" s="4" t="str">
        <f t="shared" ref="E30:E33" si="2">IF($B30&gt;=90,"A",IF($B30&gt;=75,"B",IF($B30&gt;=50,"C","Fail")))</f>
        <v>A</v>
      </c>
    </row>
    <row r="31" spans="1:9" x14ac:dyDescent="0.3">
      <c r="A31" s="4" t="s">
        <v>21</v>
      </c>
      <c r="B31" s="4">
        <v>57</v>
      </c>
      <c r="E31" s="4" t="str">
        <f t="shared" si="2"/>
        <v>C</v>
      </c>
    </row>
    <row r="32" spans="1:9" x14ac:dyDescent="0.3">
      <c r="A32" s="4" t="s">
        <v>22</v>
      </c>
      <c r="B32" s="4">
        <v>92</v>
      </c>
      <c r="E32" s="4" t="str">
        <f t="shared" si="2"/>
        <v>A</v>
      </c>
    </row>
    <row r="33" spans="1:7" x14ac:dyDescent="0.3">
      <c r="A33" s="4" t="s">
        <v>23</v>
      </c>
      <c r="B33" s="4">
        <v>75</v>
      </c>
      <c r="E33" s="4" t="str">
        <f t="shared" si="2"/>
        <v>B</v>
      </c>
    </row>
    <row r="36" spans="1:7" x14ac:dyDescent="0.3">
      <c r="A36" s="16" t="s">
        <v>60</v>
      </c>
    </row>
    <row r="38" spans="1:7" x14ac:dyDescent="0.3">
      <c r="A38" s="2" t="s">
        <v>27</v>
      </c>
      <c r="B38" s="2" t="s">
        <v>28</v>
      </c>
      <c r="C38" s="2" t="s">
        <v>29</v>
      </c>
      <c r="F38" s="6" t="s">
        <v>7</v>
      </c>
      <c r="G38" t="str">
        <f>VLOOKUP(A41,A38:C42,3,TRUE)</f>
        <v>Finance</v>
      </c>
    </row>
    <row r="39" spans="1:7" x14ac:dyDescent="0.3">
      <c r="A39" s="4" t="s">
        <v>30</v>
      </c>
      <c r="B39" s="4" t="s">
        <v>4</v>
      </c>
      <c r="C39" s="4" t="s">
        <v>37</v>
      </c>
    </row>
    <row r="40" spans="1:7" x14ac:dyDescent="0.3">
      <c r="A40" s="4" t="s">
        <v>31</v>
      </c>
      <c r="B40" s="4" t="s">
        <v>34</v>
      </c>
      <c r="C40" s="4" t="s">
        <v>38</v>
      </c>
      <c r="G40" t="s">
        <v>41</v>
      </c>
    </row>
    <row r="41" spans="1:7" x14ac:dyDescent="0.3">
      <c r="A41" s="4" t="s">
        <v>32</v>
      </c>
      <c r="B41" s="4" t="s">
        <v>35</v>
      </c>
      <c r="C41" s="4" t="s">
        <v>39</v>
      </c>
      <c r="G41" t="s">
        <v>40</v>
      </c>
    </row>
    <row r="42" spans="1:7" x14ac:dyDescent="0.3">
      <c r="A42" s="4" t="s">
        <v>33</v>
      </c>
      <c r="B42" s="4" t="s">
        <v>36</v>
      </c>
      <c r="C42" s="4" t="s">
        <v>10</v>
      </c>
    </row>
    <row r="46" spans="1:7" x14ac:dyDescent="0.3">
      <c r="A46" s="16" t="s">
        <v>61</v>
      </c>
    </row>
    <row r="48" spans="1:7" x14ac:dyDescent="0.3">
      <c r="A48" s="2" t="s">
        <v>42</v>
      </c>
      <c r="B48" s="2" t="s">
        <v>43</v>
      </c>
    </row>
    <row r="49" spans="1:7" x14ac:dyDescent="0.3">
      <c r="A49" s="4">
        <v>0</v>
      </c>
      <c r="B49" s="8">
        <v>0.05</v>
      </c>
    </row>
    <row r="50" spans="1:7" x14ac:dyDescent="0.3">
      <c r="A50" s="4">
        <v>20000</v>
      </c>
      <c r="B50" s="8">
        <v>0.1</v>
      </c>
    </row>
    <row r="51" spans="1:7" x14ac:dyDescent="0.3">
      <c r="A51" s="4">
        <v>50000</v>
      </c>
      <c r="B51" s="8">
        <v>0.15</v>
      </c>
    </row>
    <row r="52" spans="1:7" x14ac:dyDescent="0.3">
      <c r="A52" s="4">
        <v>80000</v>
      </c>
      <c r="B52" s="8">
        <v>0.2</v>
      </c>
    </row>
    <row r="54" spans="1:7" x14ac:dyDescent="0.3">
      <c r="A54" s="16" t="s">
        <v>44</v>
      </c>
    </row>
    <row r="56" spans="1:7" x14ac:dyDescent="0.3">
      <c r="A56" t="s">
        <v>45</v>
      </c>
      <c r="B56" s="9" t="s">
        <v>46</v>
      </c>
      <c r="C56">
        <v>45000</v>
      </c>
    </row>
    <row r="58" spans="1:7" x14ac:dyDescent="0.3">
      <c r="B58" s="9" t="s">
        <v>48</v>
      </c>
      <c r="C58" s="7">
        <f>VLOOKUP(C56,A48:B52,2,TRUE)</f>
        <v>0.1</v>
      </c>
    </row>
    <row r="60" spans="1:7" x14ac:dyDescent="0.3">
      <c r="B60" s="12" t="s">
        <v>47</v>
      </c>
      <c r="C60" s="12"/>
      <c r="D60" s="12"/>
      <c r="E60" s="12"/>
      <c r="F60" s="12"/>
      <c r="G60" s="12"/>
    </row>
    <row r="64" spans="1:7" x14ac:dyDescent="0.3">
      <c r="A64" s="16" t="s">
        <v>62</v>
      </c>
    </row>
    <row r="66" spans="1:5" x14ac:dyDescent="0.3">
      <c r="A66" s="10" t="s">
        <v>49</v>
      </c>
      <c r="B66" s="10" t="s">
        <v>50</v>
      </c>
      <c r="C66" s="10" t="s">
        <v>51</v>
      </c>
    </row>
    <row r="67" spans="1:5" x14ac:dyDescent="0.3">
      <c r="A67" s="4" t="s">
        <v>52</v>
      </c>
      <c r="B67" s="4">
        <v>10</v>
      </c>
      <c r="C67" s="4">
        <v>12</v>
      </c>
    </row>
    <row r="68" spans="1:5" x14ac:dyDescent="0.3">
      <c r="A68" s="4" t="s">
        <v>53</v>
      </c>
      <c r="B68" s="4">
        <v>10</v>
      </c>
      <c r="C68" s="4">
        <v>15</v>
      </c>
    </row>
    <row r="69" spans="1:5" x14ac:dyDescent="0.3">
      <c r="A69" s="4" t="s">
        <v>54</v>
      </c>
      <c r="B69" s="4">
        <v>8</v>
      </c>
      <c r="C69" s="4">
        <v>12</v>
      </c>
    </row>
    <row r="71" spans="1:5" x14ac:dyDescent="0.3">
      <c r="A71" s="16" t="s">
        <v>55</v>
      </c>
    </row>
    <row r="74" spans="1:5" x14ac:dyDescent="0.3">
      <c r="A74" t="s">
        <v>7</v>
      </c>
      <c r="B74" s="10" t="s">
        <v>49</v>
      </c>
      <c r="C74" s="10" t="s">
        <v>50</v>
      </c>
      <c r="D74" s="10" t="s">
        <v>51</v>
      </c>
      <c r="E74" s="11" t="s">
        <v>56</v>
      </c>
    </row>
    <row r="75" spans="1:5" x14ac:dyDescent="0.3">
      <c r="B75" s="4" t="s">
        <v>52</v>
      </c>
      <c r="C75" s="4">
        <v>10</v>
      </c>
      <c r="D75" s="4">
        <v>12</v>
      </c>
      <c r="E75" s="1" t="str">
        <f>IF(C75&gt;D75,"Exceeded","Ok")</f>
        <v>Ok</v>
      </c>
    </row>
    <row r="76" spans="1:5" x14ac:dyDescent="0.3">
      <c r="B76" s="4" t="s">
        <v>53</v>
      </c>
      <c r="C76" s="4">
        <v>10</v>
      </c>
      <c r="D76" s="4">
        <v>15</v>
      </c>
      <c r="E76" s="1" t="str">
        <f t="shared" ref="E76:E77" si="3">IF(C76&gt;D76,"Exceeded","Ok")</f>
        <v>Ok</v>
      </c>
    </row>
    <row r="77" spans="1:5" x14ac:dyDescent="0.3">
      <c r="B77" s="4" t="s">
        <v>54</v>
      </c>
      <c r="C77" s="4">
        <v>8</v>
      </c>
      <c r="D77" s="4">
        <v>12</v>
      </c>
      <c r="E77" s="1" t="str">
        <f t="shared" si="3"/>
        <v>Ok</v>
      </c>
    </row>
    <row r="81" spans="1:6" x14ac:dyDescent="0.3">
      <c r="A81" s="16" t="s">
        <v>63</v>
      </c>
    </row>
    <row r="83" spans="1:6" x14ac:dyDescent="0.3">
      <c r="A83" s="2" t="s">
        <v>27</v>
      </c>
      <c r="B83" s="2" t="s">
        <v>64</v>
      </c>
    </row>
    <row r="84" spans="1:6" x14ac:dyDescent="0.3">
      <c r="A84" s="4" t="s">
        <v>33</v>
      </c>
      <c r="B84" s="4">
        <v>55000</v>
      </c>
    </row>
    <row r="85" spans="1:6" x14ac:dyDescent="0.3">
      <c r="A85" s="4" t="s">
        <v>65</v>
      </c>
      <c r="B85" s="4">
        <v>72000</v>
      </c>
    </row>
    <row r="86" spans="1:6" x14ac:dyDescent="0.3">
      <c r="A86" s="4" t="s">
        <v>66</v>
      </c>
      <c r="B86" s="4">
        <v>62000</v>
      </c>
    </row>
    <row r="87" spans="1:6" x14ac:dyDescent="0.3">
      <c r="A87" s="4" t="s">
        <v>31</v>
      </c>
      <c r="B87" s="4">
        <v>41000</v>
      </c>
    </row>
    <row r="90" spans="1:6" x14ac:dyDescent="0.3">
      <c r="A90" s="17" t="s">
        <v>67</v>
      </c>
      <c r="B90" s="9" t="s">
        <v>68</v>
      </c>
      <c r="C90" t="s">
        <v>65</v>
      </c>
    </row>
    <row r="92" spans="1:6" x14ac:dyDescent="0.3">
      <c r="B92">
        <f>INDEX(B84:B87, MATCH(C90,A84:A87,0))</f>
        <v>72000</v>
      </c>
    </row>
    <row r="94" spans="1:6" x14ac:dyDescent="0.3">
      <c r="B94" s="12" t="s">
        <v>69</v>
      </c>
      <c r="C94" s="12"/>
      <c r="D94" s="12"/>
      <c r="E94" s="12"/>
      <c r="F94" s="12"/>
    </row>
    <row r="97" spans="1:2" x14ac:dyDescent="0.3">
      <c r="A97" s="16" t="s">
        <v>70</v>
      </c>
    </row>
    <row r="99" spans="1:2" x14ac:dyDescent="0.3">
      <c r="A99" s="2" t="s">
        <v>27</v>
      </c>
      <c r="B99" s="2" t="s">
        <v>64</v>
      </c>
    </row>
    <row r="100" spans="1:2" x14ac:dyDescent="0.3">
      <c r="A100" s="4" t="s">
        <v>30</v>
      </c>
      <c r="B100" s="4" t="s">
        <v>38</v>
      </c>
    </row>
    <row r="101" spans="1:2" x14ac:dyDescent="0.3">
      <c r="A101" s="4" t="s">
        <v>71</v>
      </c>
      <c r="B101" s="4" t="s">
        <v>37</v>
      </c>
    </row>
    <row r="102" spans="1:2" x14ac:dyDescent="0.3">
      <c r="A102" s="4" t="s">
        <v>66</v>
      </c>
      <c r="B102" s="4" t="s">
        <v>10</v>
      </c>
    </row>
    <row r="103" spans="1:2" x14ac:dyDescent="0.3">
      <c r="A103" s="4" t="s">
        <v>72</v>
      </c>
      <c r="B103" s="4" t="s">
        <v>39</v>
      </c>
    </row>
    <row r="106" spans="1:2" x14ac:dyDescent="0.3">
      <c r="A106" s="17" t="s">
        <v>7</v>
      </c>
    </row>
  </sheetData>
  <mergeCells count="12">
    <mergeCell ref="B94:F94"/>
    <mergeCell ref="B60:G60"/>
    <mergeCell ref="A1:K1"/>
    <mergeCell ref="A12:K12"/>
    <mergeCell ref="A13:K13"/>
    <mergeCell ref="F15:H15"/>
    <mergeCell ref="F16:H16"/>
    <mergeCell ref="F17:H17"/>
    <mergeCell ref="F18:H18"/>
    <mergeCell ref="F19:H19"/>
    <mergeCell ref="B10:J10"/>
    <mergeCell ref="B22:I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</dc:creator>
  <cp:lastModifiedBy>prabhakar</cp:lastModifiedBy>
  <dcterms:created xsi:type="dcterms:W3CDTF">2025-12-17T15:53:51Z</dcterms:created>
  <dcterms:modified xsi:type="dcterms:W3CDTF">2025-12-17T18:21:20Z</dcterms:modified>
</cp:coreProperties>
</file>